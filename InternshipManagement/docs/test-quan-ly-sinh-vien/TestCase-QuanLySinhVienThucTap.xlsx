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firstSheet="5" activeTab="5"/>
  </bookViews>
  <sheets>
    <sheet name="Tổng quan" sheetId="1" r:id="rId1"/>
    <sheet name="Quy tắc &amp; KPI" sheetId="2" r:id="rId2"/>
    <sheet name="Test case" sheetId="3" r:id="rId3"/>
    <sheet name="Dữ liệu lỗi &amp; lớn" sheetId="4" r:id="rId4"/>
    <sheet name="Hiệu năng (trước-sau)" sheetId="5" r:id="rId5"/>
    <sheet name="Danh sách lỗi" sheetId="6" r:id="rId6"/>
  </sheets>
  <definedNames>
    <definedName name="_xlnm.Print_Titles" localSheetId="0">'Tổng quan'!$1:$2</definedName>
    <definedName name="_xlnm.Print_Titles" localSheetId="1">'Quy tắc &amp; KPI'!$1:$2</definedName>
    <definedName name="_xlnm.Print_Titles" localSheetId="2">'Test case'!$1:$2</definedName>
    <definedName name="_xlnm.Print_Titles" localSheetId="3">'Dữ liệu lỗi &amp; lớn'!$1:$2</definedName>
    <definedName name="_xlnm.Print_Titles" localSheetId="4">'Hiệu năng (trước-sau)'!$1:$2</definedName>
    <definedName name="_xlnm.Print_Titles" localSheetId="5">'Danh sách lỗi'!$1:$2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<sst xmlns="http://schemas.openxmlformats.org/spreadsheetml/2006/main" count="725" uniqueCount="513">
  <si>
    <t>Tổng quan</t>
  </si>
  <si>
    <t>Hạng mục</t>
  </si>
  <si>
    <t>Kết quả</t>
  </si>
  <si>
    <t>Mục tiêu</t>
  </si>
  <si>
    <t>Đánh giá theo đặc tả quản lý sinh viên thực tập; không sửa dữ liệu thật.</t>
  </si>
  <si>
    <t>Phạm vi</t>
  </si>
  <si>
    <t>Backend .NET 8 services/tests, API route source review, Vue 3 Vitest, data fixtures; API/DB E2E và hiệu năng bị chặn.</t>
  </si>
  <si>
    <t>Môi trường</t>
  </si>
  <si>
    <t>Windows 11; .NET SDK 9.0.308; Node v22.19.0; SQL Server 2022 Developer; CPU i5-13420H; RAM 31.7 GB.</t>
  </si>
  <si>
    <t>Dedicated test DB/API</t>
  </si>
  <si>
    <t>Không có StudentInternshipMgmtDb_Test; STUDENT_TEST_SQLSERVER unset; API :5018/frontend :5173 không listen. DB mặc định không bị truy cập/ghi.</t>
  </si>
  <si>
    <t>Test case tổng</t>
  </si>
  <si>
    <t>Đạt</t>
  </si>
  <si>
    <t>Không đạt</t>
  </si>
  <si>
    <t>Chưa chạy</t>
  </si>
  <si>
    <t>Backend final</t>
  </si>
  <si>
    <t>245 passed; 0 failed; 1 skipped (246 total).</t>
  </si>
  <si>
    <t>Frontend final</t>
  </si>
  <si>
    <t>93 passed; 0 failed; 5 test files.</t>
  </si>
  <si>
    <t>Skipped</t>
  </si>
  <si>
    <t>StudentSearchTests.Search_uses_one_field_and_matches_accents_email_student_code_and_literal_like_characters — needs STUDENT_TEST_SQLSERVER dedicated test DB.</t>
  </si>
  <si>
    <t>Trước/sau</t>
  </si>
  <si>
    <t>3 lỗi đã sửa; không có kết quả assertion pre-fix do testhost aborted with SocketException 10013 before running. Không quy baseline pass thành kết quả trước.</t>
  </si>
  <si>
    <t>Cách đếm</t>
  </si>
  <si>
    <t>39 case: 21 Đạt / 0 Không đạt / 18 Chưa chạy. Backend 245 pass + 1 skipped; frontend 93 pass.</t>
  </si>
  <si>
    <t>Quy tắc &amp; KPI</t>
  </si>
  <si>
    <t>Quy tắc</t>
  </si>
  <si>
    <t>Định nghĩa dùng trong test</t>
  </si>
  <si>
    <t>Nguồn/ghi chú</t>
  </si>
  <si>
    <t>Sinh viên tổng</t>
  </si>
  <si>
    <t>Count sinh viên IsDeleted=false.</t>
  </si>
  <si>
    <t>StudentConfiguration global query filter; DashboardService.CountAsync.</t>
  </si>
  <si>
    <t>Tỷ lệ hoàn thành</t>
  </si>
  <si>
    <t>Completed / total * 100; Round 2; total 0 =&gt; 0.</t>
  </si>
  <si>
    <t>DashboardService.GetSummaryAsync.</t>
  </si>
  <si>
    <t>Có/không doanh nghiệp</t>
  </si>
  <si>
    <t>CompanyId != null; không có = tổng - có.</t>
  </si>
  <si>
    <t>Cần gán doanh nghiệp</t>
  </si>
  <si>
    <t>Status=NoCompany; User.CreatedAt &lt;= now - PlacementReminderDays; không có Pending.</t>
  </si>
  <si>
    <t>DashboardService; default 5 ngày nếu không cấu hình.</t>
  </si>
  <si>
    <t>Đơn quá hạn</t>
  </si>
  <si>
    <t>Pending và CreatedAt &lt;= now - OverdueRequestAlertDays.</t>
  </si>
  <si>
    <t>DashboardService; default 5 ngày; giá trị &lt;=0 fallback 5.</t>
  </si>
  <si>
    <t>Kết quả phỏng vấn trễ</t>
  </si>
  <si>
    <t>InterviewInvited, có InterviewAt &lt;= now - InterviewResultOverdueDays.</t>
  </si>
  <si>
    <t>DashboardService; default 3 ngày; &lt;=0 fallback 3.</t>
  </si>
  <si>
    <t>Ngưỡng ứng tuyển</t>
  </si>
  <si>
    <t>MaxOpenApplicationsPerStudent=5; ApplicationResponseDueDays=7.</t>
  </si>
  <si>
    <t>backend appsettings.json; service tests xác nhận giới hạn/default.</t>
  </si>
  <si>
    <t>Import</t>
  </si>
  <si>
    <t>6 headers; email regex; phone 10 digit bắt đầu 0; MSSV không trùng case-insensitive DB/file; partial import.</t>
  </si>
  <si>
    <t>StudentService implementation; endpoint runtime chưa thực hiện.</t>
  </si>
  <si>
    <t>Export</t>
  </si>
  <si>
    <t>10 cột gồm nhãn status tiếng Việt; filter Search/Status/CompanyId/HasAccount; không paginate; BOM/CSV escaping/formula escaping.</t>
  </si>
  <si>
    <t>StudentService; regression test mới cho HasAccount; end-to-end chưa chạy.</t>
  </si>
  <si>
    <t>Status</t>
  </si>
  <si>
    <t>NoCompany -&gt; Introduced -&gt; Interviewed -&gt; Accepted -&gt; Interning -&gt; Completed; history; Admin thao tác trạng thái.</t>
  </si>
  <si>
    <t>Enum, StudentService, controller authorize. HTTP role chưa chạy.</t>
  </si>
  <si>
    <t>Role boundary</t>
  </si>
  <si>
    <t>Admin routes yêu cầu Admin; company request query scope theo CompanyId; student data ownership qua identity claim.</t>
  </si>
  <si>
    <t>Controller/service code. Chỉ company service boundary có test evidence; HTTP/JWT chưa chạy.</t>
  </si>
  <si>
    <t>Vị trí</t>
  </si>
  <si>
    <t>Company draft cần Admin approval trước khi xuất hiện; Quantity không giảm dưới AcceptedCount.</t>
  </si>
  <si>
    <t>Service tests xác nhận workflow/quantity; public student-list E2E chưa chạy.</t>
  </si>
  <si>
    <t>Giới hạn xác nhận</t>
  </si>
  <si>
    <t>Kết quả mong đợi từ đặc tả + code; không coi việc đọc code là test runtime.</t>
  </si>
  <si>
    <t>Mọi case runtime chưa có bằng chứng được đánh Chưa chạy.</t>
  </si>
  <si>
    <t>Test case</t>
  </si>
  <si>
    <t>Mã TC</t>
  </si>
  <si>
    <t>Chức năng</t>
  </si>
  <si>
    <t>Loại</t>
  </si>
  <si>
    <t>Mô tả</t>
  </si>
  <si>
    <t>Điều kiện tiên quyết</t>
  </si>
  <si>
    <t>Các bước thực hiện</t>
  </si>
  <si>
    <t>Dữ liệu kiểm thử</t>
  </si>
  <si>
    <t>Kết quả mong đợi</t>
  </si>
  <si>
    <t>Kết quả thực tế</t>
  </si>
  <si>
    <t>Trạng thái</t>
  </si>
  <si>
    <t>Minh chứng</t>
  </si>
  <si>
    <t>Mức độ lỗi / Ghi chú</t>
  </si>
  <si>
    <t>TC-A01</t>
  </si>
  <si>
    <t>Xác thực sinh viên</t>
  </si>
  <si>
    <t>Luồng chính</t>
  </si>
  <si>
    <t>Đăng nhập User thành công và nhận claim Student.</t>
  </si>
  <si>
    <t>Tài khoản sinh viên có sẵn trong test DB.</t>
  </si>
  <si>
    <t>1. POST /api/auth/login; 2. xác minh role và claim.</t>
  </si>
  <si>
    <t>AuthService test user; không lưu mật khẩu/token.</t>
  </si>
  <si>
    <t>Trả đăng nhập thành công, role User và StudentId claim.</t>
  </si>
  <si>
    <t>Test Login_student_user_includes_student_claim_without_company_claim chạy trong suite.</t>
  </si>
  <si>
    <t>evidence/logs/dotnet-test-final.txt; AuthServiceCompanyRoleTests.Login_student_user_includes_student_claim_without_company_claim</t>
  </si>
  <si>
    <t>—</t>
  </si>
  <si>
    <t>TC-A02</t>
  </si>
  <si>
    <t>Xác thực doanh nghiệp</t>
  </si>
  <si>
    <t>Đăng nhập Company và gắn claim doanh nghiệp.</t>
  </si>
  <si>
    <t>Company test user tồn tại.</t>
  </si>
  <si>
    <t>1. POST /api/auth/login; 2. xác minh role/CompanyId.</t>
  </si>
  <si>
    <t>AuthService company user.</t>
  </si>
  <si>
    <t>Role Company và claim CompanyId hợp lệ.</t>
  </si>
  <si>
    <t>Test Login_company_user_includes_company_claim_and_company_role chạy trong suite.</t>
  </si>
  <si>
    <t>evidence/logs/dotnet-test-final.txt; AuthServiceCompanyRoleTests.Login_company_user_includes_company_claim_and_company_role</t>
  </si>
  <si>
    <t>TC-A03</t>
  </si>
  <si>
    <t>Xác thực</t>
  </si>
  <si>
    <t>Dữ liệu lỗi</t>
  </si>
  <si>
    <t>Đăng nhập sai mật khẩu, đổi mật khẩu bắt buộc và refresh token qua HTTP.</t>
  </si>
  <si>
    <t>Cần API hoạt động và test DB.</t>
  </si>
  <si>
    <t>1. Gọi login sai; 2. gọi refresh; 3. gọi change-password.</t>
  </si>
  <si>
    <t>Không có thông tin đăng nhập an toàn cho test DB.</t>
  </si>
  <si>
    <t>Thông tin sai bị từ chối; token được xoay vòng; cờ MustChangePassword được thực thi.</t>
  </si>
  <si>
    <t>Chưa gọi API; localhost:5018 không lắng nghe và không có dedicated test DB.</t>
  </si>
  <si>
    <t>Chưa có response API; logs/environment-and-api-check.txt</t>
  </si>
  <si>
    <t>Không kết luận</t>
  </si>
  <si>
    <t>TC-B01</t>
  </si>
  <si>
    <t>Quản lý sinh viên</t>
  </si>
  <si>
    <t>Tạo mới, trim trường nhập và lưu giá trị đã chuẩn hóa.</t>
  </si>
  <si>
    <t>EF InMemory test context.</t>
  </si>
  <si>
    <t>1. Tạo DTO có khoảng trắng; 2. gọi CreateStudentAsync; 3. kiểm tra DTO.</t>
  </si>
  <si>
    <t>TST001, email/phone có khoảng trắng.</t>
  </si>
  <si>
    <t>Tạo thành công, các trường được trim.</t>
  </si>
  <si>
    <t>Test CreateStudentAsync_trims_fields_and_rejects_case_insensitive_duplicate_codes xác nhận bản ghi đầu được tạo và trim.</t>
  </si>
  <si>
    <t>evidence/logs/dotnet-test-final.txt; StudentSoftDeleteFilterTests.CreateStudentAsync_trims_fields_and_rejects_case_insensitive_duplicate_codes</t>
  </si>
  <si>
    <t>TC-B02</t>
  </si>
  <si>
    <t>Từ chối email sai và SĐT không phải 10 số bắt đầu 0 ở cả service create/update.</t>
  </si>
  <si>
    <t>1. Gửi email sai; 2. gửi email đúng nhưng phone sai cho Create và Update; 3. kiểm tra lỗi.</t>
  </si>
  <si>
    <t>bad-email; 123456789.</t>
  </si>
  <si>
    <t>Create và Update đều từ chối trường lỗi, không lưu dữ liệu không hợp lệ.</t>
  </si>
  <si>
    <t>CreateStudentAsync_rejects_invalid_email_and_phone_number và UpdateStudentAsync_trims_fields_and_rejects_invalid_email_and_phone_number passed.</t>
  </si>
  <si>
    <t>evidence/logs/dotnet-test-final.txt; StudentSoftDeleteFilterTests.CreateStudentAsync_rejects_invalid_email_and_phone_number; StudentSoftDeleteFilterTests.UpdateStudentAsync_trims_fields_and_rejects_invalid_email_and_phone_number</t>
  </si>
  <si>
    <t>TC-B03</t>
  </si>
  <si>
    <t>Biên</t>
  </si>
  <si>
    <t>Phát hiện MSSV trùng sau trim, không phân biệt hoa/thường.</t>
  </si>
  <si>
    <t>1. Tạo TST001; 2. gửi ' tst001 '; 3. xác minh bị từ chối.</t>
  </si>
  <si>
    <t>TST001 và tst001.</t>
  </si>
  <si>
    <t>Lần hai không được tạo.</t>
  </si>
  <si>
    <t>Test CreateStudentAsync_trims_fields_and_rejects_case_insensitive_duplicate_codes xác nhận từ chối.</t>
  </si>
  <si>
    <t>TC-B04</t>
  </si>
  <si>
    <t>Tìm kiếm, lọc, phân trang</t>
  </si>
  <si>
    <t>Tìm MSSV/email/tên, filter và pagination trên SQL Server.</t>
  </si>
  <si>
    <t>Cần dedicated SQL Server test connection.</t>
  </si>
  <si>
    <t>1. Chạy StudentSearch SQL Server fact; 2. kiểm tra dữ liệu các trang.</t>
  </si>
  <si>
    <t>StudentSearchTests; DB test chưa cấu hình.</t>
  </si>
  <si>
    <t>Tìm một trường đúng, literal LIKE được escape, phân trang ổn định.</t>
  </si>
  <si>
    <t>Một test bị xUnit skip do thiếu STUDENT_TEST_SQLSERVER; assertion chưa chạy.</t>
  </si>
  <si>
    <t>evidence/logs/dotnet-test-final.txt; lý do skip: Set STUDENT_TEST_SQLSERVER to a dedicated SQL Server test database.</t>
  </si>
  <si>
    <t>Skipped bởi môi trường</t>
  </si>
  <si>
    <t>TC-B05</t>
  </si>
  <si>
    <t>Xóa mềm</t>
  </si>
  <si>
    <t>Không trả sinh viên đã xóa mềm trong query mặc định.</t>
  </si>
  <si>
    <t>1. Lưu sinh viên active/deleted; 2. query Students.</t>
  </si>
  <si>
    <t>SV001 active, SV002 IsDeleted=true.</t>
  </si>
  <si>
    <t>Chỉ trả SV001; IgnoreQueryFilters đọc được cả hai.</t>
  </si>
  <si>
    <t>Test Students_query_excludes_soft_deleted_students chạy trong suite.</t>
  </si>
  <si>
    <t>evidence/logs/dotnet-test-final.txt; StudentSoftDeleteFilterTests.Students_query_excludes_soft_deleted_students</t>
  </si>
  <si>
    <t>TC-B06</t>
  </si>
  <si>
    <t>Lịch sử trạng thái</t>
  </si>
  <si>
    <t>Ghi StatusHistory khi Admin đổi trạng thái.</t>
  </si>
  <si>
    <t>Student/Company và admin test entities.</t>
  </si>
  <si>
    <t>1. Đổi trạng thái; 2. đọc history; 3. kiểm tra actor.</t>
  </si>
  <si>
    <t>StudentStatusHistoryTests fixtures.</t>
  </si>
  <si>
    <t>Ghi đúng From/To, actor Admin và doanh nghiệp.</t>
  </si>
  <si>
    <t>StudentStatusHistoryTests chạy trong suite; không có assertion fail.</t>
  </si>
  <si>
    <t>evidence/logs/dotnet-test-final.txt; StudentStatusHistoryTests</t>
  </si>
  <si>
    <t>TC-B07</t>
  </si>
  <si>
    <t>Đặt lại mật khẩu</t>
  </si>
  <si>
    <t>Đặt lại mật khẩu yêu cầu đổi lần đầu và thu hồi refresh token.</t>
  </si>
  <si>
    <t>User/RefreshToken test entities.</t>
  </si>
  <si>
    <t>1. Gọi ResetPasswordAsync; 2. xác minh hash, cờ và token.</t>
  </si>
  <si>
    <t>StudentPasswordResetTests.</t>
  </si>
  <si>
    <t>Hash đổi; MustChangePassword=true; token active bị revoke.</t>
  </si>
  <si>
    <t>StudentPasswordResetTests chạy trong suite; không có assertion fail.</t>
  </si>
  <si>
    <t>evidence/logs/dotnet-test-final.txt; StudentPasswordResetTests</t>
  </si>
  <si>
    <t>TC-C01</t>
  </si>
  <si>
    <t>Import sinh viên</t>
  </si>
  <si>
    <t>Import tệp hợp lệ và xác nhận số dòng nhập.</t>
  </si>
  <si>
    <t>API + DB test riêng, account Admin.</t>
  </si>
  <si>
    <t>1. POST multipart file; 2. kiểm tra SuccessCount và dữ liệu.</t>
  </si>
  <si>
    <t>evidence/data/students-valid-20.csv.</t>
  </si>
  <si>
    <t>20 dòng hợp lệ được nhập, không lỗi.</t>
  </si>
  <si>
    <t>Chưa gọi endpoint; không có API listener/test DB.</t>
  </si>
  <si>
    <t>Fixture có sẵn; evidence/data/students-valid-20.csv</t>
  </si>
  <si>
    <t>TC-C02</t>
  </si>
  <si>
    <t>Import từng phần với dòng thiếu/invalid và special characters.</t>
  </si>
  <si>
    <t>API + DB test riêng; seed row TSTDB0001.</t>
  </si>
  <si>
    <t>1. Seed TSTDB0001; 2. import mixed CSV; 3. kiểm tra lỗi theo số dòng.</t>
  </si>
  <si>
    <t>students-mixed-errors.csv; formula text =1+1.</t>
  </si>
  <si>
    <t>Dòng đúng nhập; lỗi email/phone/trùng được đánh số; input formula lưu an toàn.</t>
  </si>
  <si>
    <t>Chưa chạy; fixture được tạo nhưng import endpoint không chạy.</t>
  </si>
  <si>
    <t>evidence/data/students-mixed-errors.csv; precondition DB seed chưa thực hiện</t>
  </si>
  <si>
    <t>TC-C03</t>
  </si>
  <si>
    <t>Từ chối MSSV trùng trong file và với DB, không phân biệt case.</t>
  </si>
  <si>
    <t>Dedicated test DB có seed TSTDB0001.</t>
  </si>
  <si>
    <t>1. Import mixed CSV; 2. đối chiếu row errors và DB.</t>
  </si>
  <si>
    <t>TST9005/tst9005 và TSTDB0001.</t>
  </si>
  <si>
    <t>Dòng trùng bị bỏ; các dòng độc lập hợp lệ vẫn nhập.</t>
  </si>
  <si>
    <t>Chưa chạy; không có dedicated DB.</t>
  </si>
  <si>
    <t>evidence/data/students-mixed-errors.csv; logs/environment-and-api-check.txt</t>
  </si>
  <si>
    <t>TC-C04</t>
  </si>
  <si>
    <t>Từ chối file sai extension.</t>
  </si>
  <si>
    <t>API + DB test riêng.</t>
  </si>
  <si>
    <t>1. Upload file .txt; 2. kiểm tra response/error.</t>
  </si>
  <si>
    <t>students-invalid-extension.txt.</t>
  </si>
  <si>
    <t>File không được nhập, trả lỗi định dạng.</t>
  </si>
  <si>
    <t>Chưa chạy; API không hoạt động.</t>
  </si>
  <si>
    <t>evidence/data/students-invalid-extension.txt</t>
  </si>
  <si>
    <t>TC-C05</t>
  </si>
  <si>
    <t>Từ chối file rỗng hoặc CSV thiếu cột header.</t>
  </si>
  <si>
    <t>1. Upload file empty; 2. upload CSV thiếu ClassName.</t>
  </si>
  <si>
    <t>students-empty.csv; students-missing-column.csv.</t>
  </si>
  <si>
    <t>File rỗng bị 400; thiếu cột được báo lỗi theo thiết kế.</t>
  </si>
  <si>
    <t>Chưa chạy; endpoint không được gọi.</t>
  </si>
  <si>
    <t>evidence/data/students-empty.csv; evidence/data/students-missing-column.csv</t>
  </si>
  <si>
    <t>TC-D01</t>
  </si>
  <si>
    <t>Export CSV</t>
  </si>
  <si>
    <t>Áp dụng filter HasAccount khi xuất CSV, không phân trang.</t>
  </si>
  <si>
    <t>EF InMemory test context có record có/không account.</t>
  </si>
  <si>
    <t>1. Export filter HasAccount=false; 2. đọc CSV.</t>
  </si>
  <si>
    <t>SV100 có account; SV101 không.</t>
  </si>
  <si>
    <t>Chỉ SV101 nằm trong CSV.</t>
  </si>
  <si>
    <t>Test ExportStudentsAsync_applies_has_account_filter xác nhận SV101 có và SV100 không có.</t>
  </si>
  <si>
    <t>evidence/logs/dotnet-test-final.txt; StudentSoftDeleteFilterTests.ExportStudentsAsync_applies_has_account_filter</t>
  </si>
  <si>
    <t>TC-D02</t>
  </si>
  <si>
    <t>Spreadsheet formula safety</t>
  </si>
  <si>
    <t>Escape prefix formula trong helper dùng chung.</t>
  </si>
  <si>
    <t>Unit test không cần DB.</t>
  </si>
  <si>
    <t>1. Chạy theory formula prefixes; 2. so output.</t>
  </si>
  <si>
    <t>=1+1, +cmd, -2, @SUM(A1).</t>
  </si>
  <si>
    <t>Prefix được neutralize bằng apostrophe.</t>
  </si>
  <si>
    <t>Spreadsheet_helper_escapes_formula_prefixes chạy và xác nhận các giá trị.</t>
  </si>
  <si>
    <t>evidence/logs/dotnet-test-final.txt; SharedInputSafetyTests.Spreadsheet_helper_escapes_formula_prefixes</t>
  </si>
  <si>
    <t>Chỉ helper; chưa xác nhận file export thật</t>
  </si>
  <si>
    <t>TC-D03</t>
  </si>
  <si>
    <t>Kiểm tra đủ 10 cột, CSV quote/escape, BOM UTF-8, tiếng Việt và filter.</t>
  </si>
  <si>
    <t>1. Export csv; 2. parse header/rows; 3. mở CSV UTF-8.</t>
  </si>
  <si>
    <t>Fixture chứa dấu phẩy/nháy kép/tiếng Việt/formula.</t>
  </si>
  <si>
    <t>Đúng cột, escaping và Unicode; áp đúng filter.</t>
  </si>
  <si>
    <t>Chưa chạy end-to-end; helper test không thay cho kiểm tra file.</t>
  </si>
  <si>
    <t>Fixture mixed; no API response</t>
  </si>
  <si>
    <t>TC-D04</t>
  </si>
  <si>
    <t>Export XLSX</t>
  </si>
  <si>
    <t>Kiểm tra workbook headers, định dạng, filter và dữ liệu UTF-8.</t>
  </si>
  <si>
    <t>1. Export xlsx; 2. mở workbook; 3. so cột và rows.</t>
  </si>
  <si>
    <t>CSV/xlsx test records.</t>
  </si>
  <si>
    <t>Workbook hợp lệ, 10 cột, đúng bộ lọc.</t>
  </si>
  <si>
    <t>Chưa gọi API; chưa chạy export XLSX service.</t>
  </si>
  <si>
    <t>Không có response; logs/environment-and-api-check.txt</t>
  </si>
  <si>
    <t>TC-D05</t>
  </si>
  <si>
    <t>Export formula injection</t>
  </si>
  <si>
    <t>Xác nhận CSV và XLSX output neutralize =, +, -, @.</t>
  </si>
  <si>
    <t>1. Seed formula-like fields; 2. export csv/xlsx; 3. inspect cell bytes/value.</t>
  </si>
  <si>
    <t>=1+1; +cmd; -2; @SUM(A1).</t>
  </si>
  <si>
    <t>Mọi cell export an toàn, không executable formula.</t>
  </si>
  <si>
    <t>Chỉ helper unit test đã chạy; file exports chưa được tạo từ API.</t>
  </si>
  <si>
    <t>SharedInputSafetyTests chỉ là helper; no API export artifact</t>
  </si>
  <si>
    <t>TC-E01</t>
  </si>
  <si>
    <t>Dashboard KPI</t>
  </si>
  <si>
    <t>CompletionRate với 10 sinh viên, 3 Completed.</t>
  </si>
  <si>
    <t>Dedicated DB seeded 10 students.</t>
  </si>
  <si>
    <t>1. Seed 10 record, 3 Completed; 2. gọi summary.</t>
  </si>
  <si>
    <t>10 total, 3 completed.</t>
  </si>
  <si>
    <t>Rate=30.00; total=10.</t>
  </si>
  <si>
    <t>DashboardService không được gọi qua DB/API trong lần kiểm thử này.</t>
  </si>
  <si>
    <t>Không có test DB/API response</t>
  </si>
  <si>
    <t>TC-E02</t>
  </si>
  <si>
    <t>Tổng bằng 0 và sinh viên soft-deleted không tính.</t>
  </si>
  <si>
    <t>Dedicated DB rỗng / fixture có deleted row.</t>
  </si>
  <si>
    <t>1. Gọi summary DB rỗng; 2. seed deleted; 3. gọi lại.</t>
  </si>
  <si>
    <t>Zero rows; then one deleted row.</t>
  </si>
  <si>
    <t>Total=0, rate=0; soft-deleted không được tính.</t>
  </si>
  <si>
    <t>Chưa chạy summary; global filter có test riêng nhưng không chứng minh DTO KPI.</t>
  </si>
  <si>
    <t>StudentSoftDeleteFilterTests không bao phủ DashboardSummary</t>
  </si>
  <si>
    <t>TC-E03</t>
  </si>
  <si>
    <t>Dashboard cảnh báo</t>
  </si>
  <si>
    <t>Kiểm tra ngưỡng ngày thứ 5, thiếu một ngày, Pending exclusion và overdue interview.</t>
  </si>
  <si>
    <t>Dedicated DB với CreatedAt/requests kiểm soát.</t>
  </si>
  <si>
    <t>1. Seed boundary dates/status; 2. gọi need-assignment/overdue endpoints.</t>
  </si>
  <si>
    <t>PlacementReminderDays=5, overdue=5, interview=3.</t>
  </si>
  <si>
    <t>Ngày biên inclusive; loại Student có Pending; overdue status đúng.</t>
  </si>
  <si>
    <t>Unit test có kiểm tra một số overdue defaults, nhưng dashboard full KPI boundary chưa chạy; DB/API unavailable.</t>
  </si>
  <si>
    <t>evidence/logs/dotnet-test-final.txt có test overdue helper; chưa có phép thử đầy đủ TC này</t>
  </si>
  <si>
    <t>TC-F01</t>
  </si>
  <si>
    <t>Đơn thực tập</t>
  </si>
  <si>
    <t>Sinh viên nộp đơn đầy đủ; snapshot form lưu riêng khỏi profile.</t>
  </si>
  <si>
    <t>PlacementRequest service test context.</t>
  </si>
  <si>
    <t>1. Tạo request hợp lệ; 2. xác nhận request snapshot và profile.</t>
  </si>
  <si>
    <t>CreatePlacementRequestDto hợp lệ.</t>
  </si>
  <si>
    <t>Tạo request Pending với snapshot đã trim.</t>
  </si>
  <si>
    <t>CreateRequestAsync_saves_trimmed_snapshots_without_changing_student và validator tests chạy.</t>
  </si>
  <si>
    <t>evidence/logs/dotnet-test-final.txt; PlacementRequestServiceTests; CreatePlacementRequestDtoValidatorTests</t>
  </si>
  <si>
    <t>TC-F02</t>
  </si>
  <si>
    <t>Chặn Pending trùng và vượt giới hạn đơn đang mở.</t>
  </si>
  <si>
    <t>1. Tạo pending cùng công ty/vị trí; 2. đạt limit; 3. gửi thêm.</t>
  </si>
  <si>
    <t>MaxOpenApplicationsPerStudent=5.</t>
  </si>
  <si>
    <t>Request trùng/vượt limit bị từ chối.</t>
  </si>
  <si>
    <t>CreateRequestAsync_rejects_duplicate_open_company_and_position và CreateRequestAsync_rejects_when_open_request_limit_is_reached chạy.</t>
  </si>
  <si>
    <t>evidence/logs/dotnet-test-final.txt; PlacementRequestServiceTests</t>
  </si>
  <si>
    <t>TC-F03</t>
  </si>
  <si>
    <t>Chặn vị trí đóng/hết hiệu lực/không thuộc đúng công ty.</t>
  </si>
  <si>
    <t>1. Gửi request cho position không khả dụng; 2. kiểm tra kết quả.</t>
  </si>
  <si>
    <t>Position closed/expired/mismatched.</t>
  </si>
  <si>
    <t>Không nhận request; dữ liệu không bị mutate.</t>
  </si>
  <si>
    <t>CreateRequestAsync_rejects_unavailable_or_mismatched_position chạy trong suite.</t>
  </si>
  <si>
    <t>evidence/logs/dotnet-test-final.txt; PlacementRequestServiceTests.CreateRequestAsync_rejects_unavailable_or_mismatched_position</t>
  </si>
  <si>
    <t>TC-F04</t>
  </si>
  <si>
    <t>Mời phỏng vấn</t>
  </si>
  <si>
    <t>Company mời phỏng vấn cho request Pending.</t>
  </si>
  <si>
    <t>Company request test context.</t>
  </si>
  <si>
    <t>1. Invite future interview; 2. kiểm tra InterviewAt UTC/status.</t>
  </si>
  <si>
    <t>InviteInterviewDto hợp lệ.</t>
  </si>
  <si>
    <t>Lưu lịch phỏng vấn UTC; chỉ request đổi.</t>
  </si>
  <si>
    <t>Invite_interview_updates_only_request_and_stores_interview_time_as_utc chạy.</t>
  </si>
  <si>
    <t>evidence/logs/dotnet-test-final.txt; CompanyPlacementRequestServiceTests</t>
  </si>
  <si>
    <t>TC-F05</t>
  </si>
  <si>
    <t>Kết quả thực tập</t>
  </si>
  <si>
    <t>Company ghi Đạt, cập nhật Student và từ chối open requests khác.</t>
  </si>
  <si>
    <t>Placement decision test context.</t>
  </si>
  <si>
    <t>1. Record pass; 2. xác nhận accepted student/history/requests.</t>
  </si>
  <si>
    <t>CompanyPlacementDecisionTests fixture.</t>
  </si>
  <si>
    <t>Sinh viên chuyển Accepted; history/request khác được cập nhật nhất quán.</t>
  </si>
  <si>
    <t>Passing_request_accepts_student_and_rejects_other_open_requests chạy.</t>
  </si>
  <si>
    <t>evidence/logs/dotnet-test-final.txt; CompanyPlacementDecisionTests.Passing_request_accepts_student_and_rejects_other_open_requests</t>
  </si>
  <si>
    <t>TC-F06</t>
  </si>
  <si>
    <t>Từ chối đơn</t>
  </si>
  <si>
    <t>Company từ chối request Pending/InterviewInvited, không đổi Student.</t>
  </si>
  <si>
    <t>Company placement request test context.</t>
  </si>
  <si>
    <t>1. Reject request; 2. xác minh reason/status/student.</t>
  </si>
  <si>
    <t>Pending và InterviewInvited.</t>
  </si>
  <si>
    <t>Request bị từ chối; sinh viên không đổi trạng thái.</t>
  </si>
  <si>
    <t>Company_can_reject_pending_or_interview_invited_request chạy trong suite.</t>
  </si>
  <si>
    <t>TC-G01</t>
  </si>
  <si>
    <t>Vị trí thực tập</t>
  </si>
  <si>
    <t>Company tạo draft và submit; Admin duyệt pending position.</t>
  </si>
  <si>
    <t>JobPosition services test context.</t>
  </si>
  <si>
    <t>1. Tạo draft/submit; 2. Admin filter/approve; 3. xác minh trạng thái.</t>
  </si>
  <si>
    <t>Company draft, approval pending.</t>
  </si>
  <si>
    <t>Draft chưa ở trạng thái approved; Admin approve chuyển trạng thái.</t>
  </si>
  <si>
    <t>Company_can_create_draft_and_submit_it_only_once và Approve_pending_position... chạy; public-list visibility chưa bao phủ.</t>
  </si>
  <si>
    <t>evidence/logs/dotnet-test-final.txt; CompanyJobPositionServiceTests; AdminJobPositionApprovalTests</t>
  </si>
  <si>
    <t>Phạm vi service approval; student API visibility chưa chạy</t>
  </si>
  <si>
    <t>TC-G02</t>
  </si>
  <si>
    <t>Không cho giảm Quantity thấp hơn AcceptedCount.</t>
  </si>
  <si>
    <t>CompanyJobPositionService test context.</t>
  </si>
  <si>
    <t>1. Seed AcceptedCount; 2. PUT Quantity nhỏ hơn; 3. kiểm tra rejection.</t>
  </si>
  <si>
    <t>Quantity &lt; AcceptedCount.</t>
  </si>
  <si>
    <t>Cập nhật bị chặn.</t>
  </si>
  <si>
    <t>Company_cannot_reduce_quantity_below_accepted_count chạy.</t>
  </si>
  <si>
    <t>evidence/logs/dotnet-test-final.txt; CompanyJobPositionServiceTests.Company_cannot_reduce_quantity_below_accepted_count</t>
  </si>
  <si>
    <t>TC-H01</t>
  </si>
  <si>
    <t>Phân quyền sinh viên</t>
  </si>
  <si>
    <t>Phân quyền</t>
  </si>
  <si>
    <t>Student A truy cập dữ liệu Student B.</t>
  </si>
  <si>
    <t>Cần API + JWT của hai user.</t>
  </si>
  <si>
    <t>1. Đăng nhập A; 2. gọi route profile/request B; 3. kiểm tra 403/404.</t>
  </si>
  <si>
    <t>Hai user Student A/B.</t>
  </si>
  <si>
    <t>Không lộ dữ liệu B.</t>
  </si>
  <si>
    <t>Không gọi API; test DB/auth token chưa có.</t>
  </si>
  <si>
    <t>No API response; logs/environment-and-api-check.txt</t>
  </si>
  <si>
    <t>TC-H02</t>
  </si>
  <si>
    <t>Phân quyền Admin</t>
  </si>
  <si>
    <t>User gọi API chỉ dành Admin.</t>
  </si>
  <si>
    <t>Cần API + JWT User.</t>
  </si>
  <si>
    <t>1. Gọi GET /api/students bằng token User; 2. kiểm tra status.</t>
  </si>
  <si>
    <t>User role token.</t>
  </si>
  <si>
    <t>HTTP 403.</t>
  </si>
  <si>
    <t>Không gọi endpoint; controller metadata không phải HTTP assertion.</t>
  </si>
  <si>
    <t>No API response</t>
  </si>
  <si>
    <t>TC-H03</t>
  </si>
  <si>
    <t>Phân quyền Company</t>
  </si>
  <si>
    <t>Company A không đọc/ghi đơn của Company B.</t>
  </si>
  <si>
    <t>Company placement service tests.</t>
  </si>
  <si>
    <t>1. Tạo request thuộc B; 2. truy cập qua A; 3. kiểm tra không mutation.</t>
  </si>
  <si>
    <t>CompanyPlacementRequestService fixture.</t>
  </si>
  <si>
    <t>Company A không nhận dữ liệu của B.</t>
  </si>
  <si>
    <t>Company_cannot_read_or_mutate_another_company_request chạy.</t>
  </si>
  <si>
    <t>evidence/logs/dotnet-test-final.txt; CompanyPlacementRequestServiceTests.Company_cannot_read_or_mutate_another_company_request</t>
  </si>
  <si>
    <t>TC-H04</t>
  </si>
  <si>
    <t>Xác thực API</t>
  </si>
  <si>
    <t>Gọi endpoint protected không có token.</t>
  </si>
  <si>
    <t>API listener.</t>
  </si>
  <si>
    <t>1. GET /api/students không Authorization; 2. kiểm tra status.</t>
  </si>
  <si>
    <t>Không bearer token.</t>
  </si>
  <si>
    <t>HTTP 401.</t>
  </si>
  <si>
    <t>Chưa gọi API do listener không chạy.</t>
  </si>
  <si>
    <t>TC-I01</t>
  </si>
  <si>
    <t>Frontend validation</t>
  </si>
  <si>
    <t>Form sinh viên báo required, email sai, SĐT sai, trims input.</t>
  </si>
  <si>
    <t>Vitest frontend.</t>
  </si>
  <si>
    <t>1. Chạy studentEditValidation.test.js; 2. xem assertion.</t>
  </si>
  <si>
    <t>Input rỗng, malformed email, phone 9/11 digit.</t>
  </si>
  <si>
    <t>Hiển thị field errors; valid trimmed form chấp nhận.</t>
  </si>
  <si>
    <t>Student form validation suite chạy cùng 93 Vitest tests; passed.</t>
  </si>
  <si>
    <t>evidence/logs/vitest-final.txt; studentEditValidation.test.js</t>
  </si>
  <si>
    <t>Unit validation; UI E2E chưa chạy</t>
  </si>
  <si>
    <t>TC-I02</t>
  </si>
  <si>
    <t>Frontend route role</t>
  </si>
  <si>
    <t>Role Admin/User/Company ánh xạ tới default route đúng.</t>
  </si>
  <si>
    <t>1. Chạy roleRoutes.test.js; 2. kiểm tra role routes.</t>
  </si>
  <si>
    <t>Admin, User, Company, unknown.</t>
  </si>
  <si>
    <t>Route phù hợp; role lạ trả null.</t>
  </si>
  <si>
    <t>roleRoutes.test.js passed trong suite.</t>
  </si>
  <si>
    <t>evidence/logs/vitest-final.txt; roleRoutes.test.js</t>
  </si>
  <si>
    <t>Không có Playwright/UI runtime</t>
  </si>
  <si>
    <t>TC-J01</t>
  </si>
  <si>
    <t>Dữ liệu lớn/hiệu năng</t>
  </si>
  <si>
    <t>Hiệu năng</t>
  </si>
  <si>
    <t>Đo import 100/1,000/5,000 rows và export CSV/XLSX 1,000/5,000, 5 lần.</t>
  </si>
  <si>
    <t>API và DB test riêng đã seed/reset giữa trial.</t>
  </si>
  <si>
    <t>1. Run each operation 5 times; 2. collect min/median/max.</t>
  </si>
  <si>
    <t>CSV 1k/5k và XLSX 5k fixtures.</t>
  </si>
  <si>
    <t>Measured latency compared to thresholds.</t>
  </si>
  <si>
    <t>Chưa đo: dedicated DB và API không sẵn có; không ghi số đo thay thế.</t>
  </si>
  <si>
    <t>evidence/perf/measurement-attempts.csv; measurement-not-run.txt</t>
  </si>
  <si>
    <t>TC-J02</t>
  </si>
  <si>
    <t>Đo paging trên DB 5,000, Dashboard summary và login 5 lần.</t>
  </si>
  <si>
    <t>DB test 5k và API hoạt động.</t>
  </si>
  <si>
    <t>1. Seed 5,000; 2. lặp mỗi API 5 lần; 3. tổng hợp median.</t>
  </si>
  <si>
    <t>Dataset bulk seed.</t>
  </si>
  <si>
    <t>Thời gian nằm trong ngưỡng nhóm đặt.</t>
  </si>
  <si>
    <t>Chưa đo vì DB/API không sẵn có.</t>
  </si>
  <si>
    <t>Dữ liệu lỗi &amp; lớn</t>
  </si>
  <si>
    <t>Tệp</t>
  </si>
  <si>
    <t>Số dòng dữ liệu</t>
  </si>
  <si>
    <t>Mục tiêu kiểm thử</t>
  </si>
  <si>
    <t>Nguồn/tạo dữ liệu</t>
  </si>
  <si>
    <t>students-valid-20.csv</t>
  </si>
  <si>
    <t>20</t>
  </si>
  <si>
    <t>CSV hợp lệ UTF-8 BOM, tên tiếng Việt, MSSV TST.</t>
  </si>
  <si>
    <t>CSV</t>
  </si>
  <si>
    <t>Generated by deterministic PowerShell script; seed 20261012.</t>
  </si>
  <si>
    <t>Ready; not imported.</t>
  </si>
  <si>
    <t>students-mixed-errors.csv</t>
  </si>
  <si>
    <t>9</t>
  </si>
  <si>
    <t>Thiếu giá trị; email sai; phone sai; duplicate case-insensitive; MSSV seed DB; formula-like field; Vietnamese quotes/commas.</t>
  </si>
  <si>
    <t>Seeded generator; TSTDB0001 must be seeded in dedicated test DB to verify DB conflict.</t>
  </si>
  <si>
    <t>students-missing-column.csv</t>
  </si>
  <si>
    <t>1</t>
  </si>
  <si>
    <t>Header thiếu ClassName.</t>
  </si>
  <si>
    <t>Generated by deterministic PowerShell script.</t>
  </si>
  <si>
    <t>Ready; not uploaded.</t>
  </si>
  <si>
    <t>students-large-1000.csv</t>
  </si>
  <si>
    <t>1,000</t>
  </si>
  <si>
    <t>Dữ liệu bulk hợp lệ.</t>
  </si>
  <si>
    <t>Seed 20261012; generated deterministic.</t>
  </si>
  <si>
    <t>Ready; not imported/performance measured.</t>
  </si>
  <si>
    <t>students-large-5000.csv</t>
  </si>
  <si>
    <t>5,000</t>
  </si>
  <si>
    <t>students-large-5000.xlsx</t>
  </si>
  <si>
    <t>Workbook fixture with 6 import columns.</t>
  </si>
  <si>
    <t>XLSX</t>
  </si>
  <si>
    <t>Generated from same deterministic 5,000-row dataset.</t>
  </si>
  <si>
    <t>Created; no API import.</t>
  </si>
  <si>
    <t>students-invalid-extension.txt</t>
  </si>
  <si>
    <t>Unsupported file extension.</t>
  </si>
  <si>
    <t>TXT</t>
  </si>
  <si>
    <t>Generated by script.</t>
  </si>
  <si>
    <t>students-empty.csv</t>
  </si>
  <si>
    <t>0</t>
  </si>
  <si>
    <t>Zero-byte edge case.</t>
  </si>
  <si>
    <t>Hiệu năng (trước-sau)</t>
  </si>
  <si>
    <t>Thao tác</t>
  </si>
  <si>
    <t>Ngưỡng nhóm tự đặt</t>
  </si>
  <si>
    <t>Lần dự kiến</t>
  </si>
  <si>
    <t>Lần chạy</t>
  </si>
  <si>
    <t>Min/Median/Max ms</t>
  </si>
  <si>
    <t>Lý do/so sánh</t>
  </si>
  <si>
    <t>Import CSV 100 rows</t>
  </si>
  <si>
    <t>≤1,000 ms</t>
  </si>
  <si>
    <t>5</t>
  </si>
  <si>
    <t>No dedicated test DB/API.</t>
  </si>
  <si>
    <t>Import CSV 1,000 rows</t>
  </si>
  <si>
    <t>≤5,000 ms</t>
  </si>
  <si>
    <t>Import CSV 5,000 rows</t>
  </si>
  <si>
    <t>≤20,000 ms</t>
  </si>
  <si>
    <t>Export CSV 1,000</t>
  </si>
  <si>
    <t>≤2,000 ms</t>
  </si>
  <si>
    <t>Export CSV 5,000</t>
  </si>
  <si>
    <t>≤8,000 ms</t>
  </si>
  <si>
    <t>Export XLSX 1,000</t>
  </si>
  <si>
    <t>Export XLSX 5,000</t>
  </si>
  <si>
    <t>Paged student list with 5,000 rows</t>
  </si>
  <si>
    <t>Dashboard summary</t>
  </si>
  <si>
    <t>≤500 ms</t>
  </si>
  <si>
    <t>Admin login</t>
  </si>
  <si>
    <t>Danh sách lỗi</t>
  </si>
  <si>
    <t>Mã lỗi</t>
  </si>
  <si>
    <t>TC liên quan</t>
  </si>
  <si>
    <t>Mức độ</t>
  </si>
  <si>
    <t>Trạng thái sửa</t>
  </si>
  <si>
    <t>File đã đổi/nguồn</t>
  </si>
  <si>
    <t>Trước/Sau và minh chứng</t>
  </si>
  <si>
    <t>BUG-001</t>
  </si>
  <si>
    <t>Tạo/cập nhật sinh viên ở service không trim/validate email và phone; API validator alone was not enough to protect direct service calls.</t>
  </si>
  <si>
    <t>Trung bình</t>
  </si>
  <si>
    <t>Đã sửa</t>
  </si>
  <si>
    <t>StudentService.cs; StudentSoftDeleteFilterTests.cs</t>
  </si>
  <si>
    <t>Trước: HEAD code omitted service-level checks. Pre-fix test attempt aborted at testhost socket bind (10013) before any assertion; no pre-fix pass/fail result. Sau: CreateStudentAsync_rejects_invalid_email_and_phone_number and UpdateStudentAsync_trims_fields_and_rejects_invalid_email_and_phone_number passed in final suite.</t>
  </si>
  <si>
    <t>BUG-002</t>
  </si>
  <si>
    <t>TC-B01/TC-B03</t>
  </si>
  <si>
    <t>MSSV duplicate check was exact string equality and did not trim, so casing/whitespace variants were not normalized.</t>
  </si>
  <si>
    <t>Trước: HEAD had exact equality and no trim. Pre-fix test attempt aborted before assertion; no pre-fix result. Sau: CreateStudentAsync_trims_fields_and_rejects_case_insensitive_duplicate_codes passed.</t>
  </si>
  <si>
    <t>BUG-003</t>
  </si>
  <si>
    <t>ExportStudentsAsync omitted HasAccount from filters although list query supports it.</t>
  </si>
  <si>
    <t>Thấp</t>
  </si>
  <si>
    <t>Trước: export applied search/status/company only; no HasAccount. Pre-fix test attempt aborted before assertion; no pre-fix result. Sau: ExportStudentsAsync_applies_has_account_filter passed.</t>
  </si>
  <si>
    <t>OBS-004</t>
  </si>
  <si>
    <t>Build baseline</t>
  </si>
  <si>
    <t>NU1903 reports AutoMapper 13.0.1 has a known high-severity advisory (GHSA-rvv3-g6hj-g44x). Advisory was not independently assessed here.</t>
  </si>
  <si>
    <t>Cao</t>
  </si>
  <si>
    <t>Chưa sửa</t>
  </si>
  <si>
    <t>StudentInternshipMgmt.Application.csproj (unchanged)</t>
  </si>
  <si>
    <t>Observed as warning during final dotnet test. No package/source change made per instruction.</t>
  </si>
  <si>
    <t>OBS-005</t>
  </si>
  <si>
    <t>MSB3277 reports EF Core reference conflict between 8.0.10 and 8.0.31.</t>
  </si>
  <si>
    <t>Infrastructure/Application project references (unchanged)</t>
  </si>
  <si>
    <t>Observed as warning during final dotnet test; not investigated/fixed in this task.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</si>
</sst>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theme="1"/>
      <name val="Calibri"/>
      <charset val="134"/>
      <scheme val="minor"/>
    </font>
    <font>
      <sz val="10"/>
      <color theme="1"/>
      <name val="Aptos"/>
      <charset val="134"/>
    </font>
    <font>
      <b/>
      <sz val="16"/>
      <color rgb="FFFFFFFF"/>
      <name val="Aptos"/>
      <charset val="134"/>
    </font>
    <font>
      <b/>
      <sz val="10"/>
      <color rgb="FFFFFFFF"/>
      <name val="Aptos"/>
      <charset val="134"/>
    </font>
    <font>
      <sz val="10"/>
      <color rgb="FF006100"/>
      <name val="Aptos"/>
      <charset val="134"/>
    </font>
    <font>
      <sz val="10"/>
      <color rgb="FF404040"/>
      <name val="Aptos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74260"/>
        <bgColor indexed="64"/>
      </patternFill>
    </fill>
    <fill>
      <patternFill patternType="solid">
        <fgColor rgb="FFCEEFC6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F3E2D9"/>
      </left>
      <right style="thin">
        <color rgb="FFF3E2D9"/>
      </right>
      <top style="thin">
        <color rgb="FFF3E2D9"/>
      </top>
      <bottom style="thin">
        <color rgb="FFF3E2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7" fillId="8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49" fontId="3" fillId="2" borderId="1" xfId="0" applyNumberFormat="1" applyFont="1" applyFill="1" applyBorder="1" applyAlignment="1">
      <alignment vertical="top" wrapText="1"/>
    </xf>
    <xf numFmtId="49" fontId="1" fillId="0" borderId="1" xfId="0" applyNumberFormat="1" applyFont="1" applyBorder="1" applyAlignment="1">
      <alignment vertical="top" wrapText="1"/>
    </xf>
    <xf numFmtId="49" fontId="4" fillId="3" borderId="1" xfId="0" applyNumberFormat="1" applyFont="1" applyFill="1" applyBorder="1" applyAlignment="1">
      <alignment vertical="top" wrapText="1"/>
    </xf>
    <xf numFmtId="49" fontId="5" fillId="4" borderId="1" xfId="0" applyNumberFormat="1" applyFont="1" applyFill="1" applyBorder="1" applyAlignment="1">
      <alignment vertical="top" wrapText="1"/>
    </xf>
    <xf numFmtId="0" fontId="1" fillId="0" borderId="1" xfId="0" applyNumberFormat="1" applyFont="1" applyBorder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15"/>
  <sheetViews>
    <sheetView workbookViewId="0">
      <pane ySplit="1" topLeftCell="A2" activePane="bottomLeft" state="frozenSplit"/>
      <selection/>
      <selection pane="bottomLeft" activeCell="A1" sqref="A1"/>
    </sheetView>
  </sheetViews>
  <sheetFormatPr defaultColWidth="8.88888888888889" defaultRowHeight="13.2" outlineLevelCol="1"/>
  <cols>
    <col min="1" max="1" width="30.7777777777778" style="1" customWidth="1"/>
    <col min="2" max="2" width="100.777777777778" style="1" customWidth="1"/>
    <col min="3" max="16384" width="8.88888888888889" style="1"/>
  </cols>
  <sheetData>
    <row r="1" ht="28" customHeight="1" spans="1:2">
      <c r="A1" s="2" t="s">
        <v>0</v>
      </c>
      <c r="B1" s="3"/>
    </row>
    <row r="2" ht="34" customHeight="1" spans="1:2">
      <c r="A2" s="4" t="s">
        <v>1</v>
      </c>
      <c r="B2" s="4" t="s">
        <v>2</v>
      </c>
    </row>
    <row r="3" spans="1:2">
      <c r="A3" s="5" t="s">
        <v>3</v>
      </c>
      <c r="B3" s="5" t="s">
        <v>4</v>
      </c>
    </row>
    <row r="4" spans="1:2">
      <c r="A4" s="5" t="s">
        <v>5</v>
      </c>
      <c r="B4" s="5" t="s">
        <v>6</v>
      </c>
    </row>
    <row r="5" spans="1:2">
      <c r="A5" s="5" t="s">
        <v>7</v>
      </c>
      <c r="B5" s="5" t="s">
        <v>8</v>
      </c>
    </row>
    <row r="6" ht="26.4" spans="1:2">
      <c r="A6" s="5" t="s">
        <v>9</v>
      </c>
      <c r="B6" s="5" t="s">
        <v>10</v>
      </c>
    </row>
    <row r="7" spans="1:2">
      <c r="A7" s="5" t="s">
        <v>11</v>
      </c>
      <c r="B7" s="8">
        <f>COUNTA('Test case'!A3:A41)</f>
        <v>39</v>
      </c>
    </row>
    <row r="8" spans="1:2">
      <c r="A8" s="5" t="s">
        <v>12</v>
      </c>
      <c r="B8" s="8">
        <f>COUNTIF('Test case'!J3:J41,"Đạt")</f>
        <v>21</v>
      </c>
    </row>
    <row r="9" spans="1:2">
      <c r="A9" s="5" t="s">
        <v>13</v>
      </c>
      <c r="B9" s="8">
        <f>COUNTIF('Test case'!J3:J41,"Không đạt")</f>
        <v>0</v>
      </c>
    </row>
    <row r="10" spans="1:2">
      <c r="A10" s="5" t="s">
        <v>14</v>
      </c>
      <c r="B10" s="8">
        <f>COUNTIF('Test case'!J3:J41,"Chưa chạy")</f>
        <v>18</v>
      </c>
    </row>
    <row r="11" spans="1:2">
      <c r="A11" s="5" t="s">
        <v>15</v>
      </c>
      <c r="B11" s="5" t="s">
        <v>16</v>
      </c>
    </row>
    <row r="12" spans="1:2">
      <c r="A12" s="5" t="s">
        <v>17</v>
      </c>
      <c r="B12" s="5" t="s">
        <v>18</v>
      </c>
    </row>
    <row r="13" ht="26.4" spans="1:2">
      <c r="A13" s="5" t="s">
        <v>19</v>
      </c>
      <c r="B13" s="5" t="s">
        <v>20</v>
      </c>
    </row>
    <row r="14" ht="26.4" spans="1:2">
      <c r="A14" s="5" t="s">
        <v>21</v>
      </c>
      <c r="B14" s="5" t="s">
        <v>22</v>
      </c>
    </row>
    <row r="15" spans="1:2">
      <c r="A15" s="5" t="s">
        <v>23</v>
      </c>
      <c r="B15" s="5" t="s">
        <v>24</v>
      </c>
    </row>
  </sheetData>
  <mergeCells count="1">
    <mergeCell ref="A1:B1"/>
  </mergeCells>
  <pageMargins left="0.75" right="0.75" top="1" bottom="1" header="0.5" footer="0.5"/>
  <pageSetup paperSize="9" fitToHeight="0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15"/>
  <sheetViews>
    <sheetView workbookViewId="0">
      <pane ySplit="1" topLeftCell="A2" activePane="bottomLeft" state="frozenSplit"/>
      <selection/>
      <selection pane="bottomLeft" activeCell="A1" sqref="A1"/>
    </sheetView>
  </sheetViews>
  <sheetFormatPr defaultColWidth="8.88888888888889" defaultRowHeight="13.2" outlineLevelCol="2"/>
  <cols>
    <col min="1" max="1" width="28.7777777777778" style="1" customWidth="1"/>
    <col min="2" max="2" width="55.7777777777778" style="1" customWidth="1"/>
    <col min="3" max="3" width="78.7777777777778" style="1" customWidth="1"/>
    <col min="4" max="16384" width="8.88888888888889" style="1"/>
  </cols>
  <sheetData>
    <row r="1" ht="28" customHeight="1" spans="1:3">
      <c r="A1" s="2" t="s">
        <v>25</v>
      </c>
      <c r="B1" s="3"/>
      <c r="C1" s="3"/>
    </row>
    <row r="2" ht="34" customHeight="1" spans="1:3">
      <c r="A2" s="4" t="s">
        <v>26</v>
      </c>
      <c r="B2" s="4" t="s">
        <v>27</v>
      </c>
      <c r="C2" s="4" t="s">
        <v>28</v>
      </c>
    </row>
    <row r="3" spans="1:3">
      <c r="A3" s="5" t="s">
        <v>29</v>
      </c>
      <c r="B3" s="5" t="s">
        <v>30</v>
      </c>
      <c r="C3" s="5" t="s">
        <v>31</v>
      </c>
    </row>
    <row r="4" spans="1:3">
      <c r="A4" s="5" t="s">
        <v>32</v>
      </c>
      <c r="B4" s="5" t="s">
        <v>33</v>
      </c>
      <c r="C4" s="5" t="s">
        <v>34</v>
      </c>
    </row>
    <row r="5" spans="1:3">
      <c r="A5" s="5" t="s">
        <v>35</v>
      </c>
      <c r="B5" s="5" t="s">
        <v>36</v>
      </c>
      <c r="C5" s="5" t="s">
        <v>34</v>
      </c>
    </row>
    <row r="6" ht="26.4" spans="1:3">
      <c r="A6" s="5" t="s">
        <v>37</v>
      </c>
      <c r="B6" s="5" t="s">
        <v>38</v>
      </c>
      <c r="C6" s="5" t="s">
        <v>39</v>
      </c>
    </row>
    <row r="7" spans="1:3">
      <c r="A7" s="5" t="s">
        <v>40</v>
      </c>
      <c r="B7" s="5" t="s">
        <v>41</v>
      </c>
      <c r="C7" s="5" t="s">
        <v>42</v>
      </c>
    </row>
    <row r="8" ht="26.4" spans="1:3">
      <c r="A8" s="5" t="s">
        <v>43</v>
      </c>
      <c r="B8" s="5" t="s">
        <v>44</v>
      </c>
      <c r="C8" s="5" t="s">
        <v>45</v>
      </c>
    </row>
    <row r="9" ht="26.4" spans="1:3">
      <c r="A9" s="5" t="s">
        <v>46</v>
      </c>
      <c r="B9" s="5" t="s">
        <v>47</v>
      </c>
      <c r="C9" s="5" t="s">
        <v>48</v>
      </c>
    </row>
    <row r="10" ht="26.4" spans="1:3">
      <c r="A10" s="5" t="s">
        <v>49</v>
      </c>
      <c r="B10" s="5" t="s">
        <v>50</v>
      </c>
      <c r="C10" s="5" t="s">
        <v>51</v>
      </c>
    </row>
    <row r="11" ht="39.6" spans="1:3">
      <c r="A11" s="5" t="s">
        <v>52</v>
      </c>
      <c r="B11" s="5" t="s">
        <v>53</v>
      </c>
      <c r="C11" s="5" t="s">
        <v>54</v>
      </c>
    </row>
    <row r="12" ht="26.4" spans="1:3">
      <c r="A12" s="5" t="s">
        <v>55</v>
      </c>
      <c r="B12" s="5" t="s">
        <v>56</v>
      </c>
      <c r="C12" s="5" t="s">
        <v>57</v>
      </c>
    </row>
    <row r="13" ht="26.4" spans="1:3">
      <c r="A13" s="5" t="s">
        <v>58</v>
      </c>
      <c r="B13" s="5" t="s">
        <v>59</v>
      </c>
      <c r="C13" s="5" t="s">
        <v>60</v>
      </c>
    </row>
    <row r="14" ht="26.4" spans="1:3">
      <c r="A14" s="5" t="s">
        <v>61</v>
      </c>
      <c r="B14" s="5" t="s">
        <v>62</v>
      </c>
      <c r="C14" s="5" t="s">
        <v>63</v>
      </c>
    </row>
    <row r="15" ht="26.4" spans="1:3">
      <c r="A15" s="5" t="s">
        <v>64</v>
      </c>
      <c r="B15" s="5" t="s">
        <v>65</v>
      </c>
      <c r="C15" s="5" t="s">
        <v>66</v>
      </c>
    </row>
  </sheetData>
  <mergeCells count="1">
    <mergeCell ref="A1:C1"/>
  </mergeCells>
  <pageMargins left="0.75" right="0.75" top="1" bottom="1" header="0.5" footer="0.5"/>
  <pageSetup paperSize="9" fitToHeight="0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41"/>
  <sheetViews>
    <sheetView workbookViewId="0">
      <pane ySplit="1" topLeftCell="A2" activePane="bottomLeft" state="frozenSplit"/>
      <selection/>
      <selection pane="bottomLeft" activeCell="A1" sqref="A1"/>
    </sheetView>
  </sheetViews>
  <sheetFormatPr defaultColWidth="8.88888888888889" defaultRowHeight="13.2"/>
  <cols>
    <col min="1" max="1" width="12.7777777777778" style="1" customWidth="1"/>
    <col min="2" max="2" width="20.7777777777778" style="1" customWidth="1"/>
    <col min="3" max="3" width="15.7777777777778" style="1" customWidth="1"/>
    <col min="4" max="4" width="34.7777777777778" style="1" customWidth="1"/>
    <col min="5" max="5" width="30.7777777777778" style="1" customWidth="1"/>
    <col min="6" max="6" width="32.7777777777778" style="1" customWidth="1"/>
    <col min="7" max="7" width="28.7777777777778" style="1" customWidth="1"/>
    <col min="8" max="8" width="35.7777777777778" style="1" customWidth="1"/>
    <col min="9" max="9" width="40.7777777777778" style="1" customWidth="1"/>
    <col min="10" max="10" width="14.7777777777778" style="1" customWidth="1"/>
    <col min="11" max="12" width="36.7777777777778" style="1" customWidth="1"/>
    <col min="13" max="16384" width="8.88888888888889" style="1"/>
  </cols>
  <sheetData>
    <row r="1" ht="28" customHeight="1" spans="1:12">
      <c r="A1" s="2" t="s">
        <v>67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ht="34" customHeight="1" spans="1:12">
      <c r="A2" s="4" t="s">
        <v>68</v>
      </c>
      <c r="B2" s="4" t="s">
        <v>69</v>
      </c>
      <c r="C2" s="4" t="s">
        <v>70</v>
      </c>
      <c r="D2" s="4" t="s">
        <v>71</v>
      </c>
      <c r="E2" s="4" t="s">
        <v>72</v>
      </c>
      <c r="F2" s="4" t="s">
        <v>73</v>
      </c>
      <c r="G2" s="4" t="s">
        <v>74</v>
      </c>
      <c r="H2" s="4" t="s">
        <v>75</v>
      </c>
      <c r="I2" s="4" t="s">
        <v>76</v>
      </c>
      <c r="J2" s="4" t="s">
        <v>77</v>
      </c>
      <c r="K2" s="4" t="s">
        <v>78</v>
      </c>
      <c r="L2" s="4" t="s">
        <v>79</v>
      </c>
    </row>
    <row r="3" ht="52.8" spans="1:12">
      <c r="A3" s="5" t="s">
        <v>80</v>
      </c>
      <c r="B3" s="5" t="s">
        <v>81</v>
      </c>
      <c r="C3" s="5" t="s">
        <v>82</v>
      </c>
      <c r="D3" s="5" t="s">
        <v>83</v>
      </c>
      <c r="E3" s="5" t="s">
        <v>84</v>
      </c>
      <c r="F3" s="5" t="s">
        <v>85</v>
      </c>
      <c r="G3" s="5" t="s">
        <v>86</v>
      </c>
      <c r="H3" s="5" t="s">
        <v>87</v>
      </c>
      <c r="I3" s="5" t="s">
        <v>88</v>
      </c>
      <c r="J3" s="6" t="s">
        <v>12</v>
      </c>
      <c r="K3" s="5" t="s">
        <v>89</v>
      </c>
      <c r="L3" s="5" t="s">
        <v>90</v>
      </c>
    </row>
    <row r="4" ht="52.8" spans="1:12">
      <c r="A4" s="5" t="s">
        <v>91</v>
      </c>
      <c r="B4" s="5" t="s">
        <v>92</v>
      </c>
      <c r="C4" s="5" t="s">
        <v>82</v>
      </c>
      <c r="D4" s="5" t="s">
        <v>93</v>
      </c>
      <c r="E4" s="5" t="s">
        <v>94</v>
      </c>
      <c r="F4" s="5" t="s">
        <v>95</v>
      </c>
      <c r="G4" s="5" t="s">
        <v>96</v>
      </c>
      <c r="H4" s="5" t="s">
        <v>97</v>
      </c>
      <c r="I4" s="5" t="s">
        <v>98</v>
      </c>
      <c r="J4" s="6" t="s">
        <v>12</v>
      </c>
      <c r="K4" s="5" t="s">
        <v>99</v>
      </c>
      <c r="L4" s="5" t="s">
        <v>90</v>
      </c>
    </row>
    <row r="5" ht="39.6" spans="1:12">
      <c r="A5" s="5" t="s">
        <v>100</v>
      </c>
      <c r="B5" s="5" t="s">
        <v>101</v>
      </c>
      <c r="C5" s="5" t="s">
        <v>102</v>
      </c>
      <c r="D5" s="5" t="s">
        <v>103</v>
      </c>
      <c r="E5" s="5" t="s">
        <v>104</v>
      </c>
      <c r="F5" s="5" t="s">
        <v>105</v>
      </c>
      <c r="G5" s="5" t="s">
        <v>106</v>
      </c>
      <c r="H5" s="5" t="s">
        <v>107</v>
      </c>
      <c r="I5" s="5" t="s">
        <v>108</v>
      </c>
      <c r="J5" s="7" t="s">
        <v>14</v>
      </c>
      <c r="K5" s="5" t="s">
        <v>109</v>
      </c>
      <c r="L5" s="5" t="s">
        <v>110</v>
      </c>
    </row>
    <row r="6" ht="52.8" spans="1:12">
      <c r="A6" s="5" t="s">
        <v>111</v>
      </c>
      <c r="B6" s="5" t="s">
        <v>112</v>
      </c>
      <c r="C6" s="5" t="s">
        <v>82</v>
      </c>
      <c r="D6" s="5" t="s">
        <v>113</v>
      </c>
      <c r="E6" s="5" t="s">
        <v>114</v>
      </c>
      <c r="F6" s="5" t="s">
        <v>115</v>
      </c>
      <c r="G6" s="5" t="s">
        <v>116</v>
      </c>
      <c r="H6" s="5" t="s">
        <v>117</v>
      </c>
      <c r="I6" s="5" t="s">
        <v>118</v>
      </c>
      <c r="J6" s="6" t="s">
        <v>12</v>
      </c>
      <c r="K6" s="5" t="s">
        <v>119</v>
      </c>
      <c r="L6" s="5" t="s">
        <v>90</v>
      </c>
    </row>
    <row r="7" ht="92.4" spans="1:12">
      <c r="A7" s="5" t="s">
        <v>120</v>
      </c>
      <c r="B7" s="5" t="s">
        <v>112</v>
      </c>
      <c r="C7" s="5" t="s">
        <v>102</v>
      </c>
      <c r="D7" s="5" t="s">
        <v>121</v>
      </c>
      <c r="E7" s="5" t="s">
        <v>114</v>
      </c>
      <c r="F7" s="5" t="s">
        <v>122</v>
      </c>
      <c r="G7" s="5" t="s">
        <v>123</v>
      </c>
      <c r="H7" s="5" t="s">
        <v>124</v>
      </c>
      <c r="I7" s="5" t="s">
        <v>125</v>
      </c>
      <c r="J7" s="6" t="s">
        <v>12</v>
      </c>
      <c r="K7" s="5" t="s">
        <v>126</v>
      </c>
      <c r="L7" s="5" t="s">
        <v>90</v>
      </c>
    </row>
    <row r="8" ht="52.8" spans="1:12">
      <c r="A8" s="5" t="s">
        <v>127</v>
      </c>
      <c r="B8" s="5" t="s">
        <v>112</v>
      </c>
      <c r="C8" s="5" t="s">
        <v>128</v>
      </c>
      <c r="D8" s="5" t="s">
        <v>129</v>
      </c>
      <c r="E8" s="5" t="s">
        <v>114</v>
      </c>
      <c r="F8" s="5" t="s">
        <v>130</v>
      </c>
      <c r="G8" s="5" t="s">
        <v>131</v>
      </c>
      <c r="H8" s="5" t="s">
        <v>132</v>
      </c>
      <c r="I8" s="5" t="s">
        <v>133</v>
      </c>
      <c r="J8" s="6" t="s">
        <v>12</v>
      </c>
      <c r="K8" s="5" t="s">
        <v>119</v>
      </c>
      <c r="L8" s="5" t="s">
        <v>90</v>
      </c>
    </row>
    <row r="9" ht="39.6" spans="1:12">
      <c r="A9" s="5" t="s">
        <v>134</v>
      </c>
      <c r="B9" s="5" t="s">
        <v>135</v>
      </c>
      <c r="C9" s="5" t="s">
        <v>82</v>
      </c>
      <c r="D9" s="5" t="s">
        <v>136</v>
      </c>
      <c r="E9" s="5" t="s">
        <v>137</v>
      </c>
      <c r="F9" s="5" t="s">
        <v>138</v>
      </c>
      <c r="G9" s="5" t="s">
        <v>139</v>
      </c>
      <c r="H9" s="5" t="s">
        <v>140</v>
      </c>
      <c r="I9" s="5" t="s">
        <v>141</v>
      </c>
      <c r="J9" s="7" t="s">
        <v>14</v>
      </c>
      <c r="K9" s="5" t="s">
        <v>142</v>
      </c>
      <c r="L9" s="5" t="s">
        <v>143</v>
      </c>
    </row>
    <row r="10" ht="39.6" spans="1:12">
      <c r="A10" s="5" t="s">
        <v>144</v>
      </c>
      <c r="B10" s="5" t="s">
        <v>145</v>
      </c>
      <c r="C10" s="5" t="s">
        <v>82</v>
      </c>
      <c r="D10" s="5" t="s">
        <v>146</v>
      </c>
      <c r="E10" s="5" t="s">
        <v>114</v>
      </c>
      <c r="F10" s="5" t="s">
        <v>147</v>
      </c>
      <c r="G10" s="5" t="s">
        <v>148</v>
      </c>
      <c r="H10" s="5" t="s">
        <v>149</v>
      </c>
      <c r="I10" s="5" t="s">
        <v>150</v>
      </c>
      <c r="J10" s="6" t="s">
        <v>12</v>
      </c>
      <c r="K10" s="5" t="s">
        <v>151</v>
      </c>
      <c r="L10" s="5" t="s">
        <v>90</v>
      </c>
    </row>
    <row r="11" ht="26.4" spans="1:12">
      <c r="A11" s="5" t="s">
        <v>152</v>
      </c>
      <c r="B11" s="5" t="s">
        <v>153</v>
      </c>
      <c r="C11" s="5" t="s">
        <v>82</v>
      </c>
      <c r="D11" s="5" t="s">
        <v>154</v>
      </c>
      <c r="E11" s="5" t="s">
        <v>155</v>
      </c>
      <c r="F11" s="5" t="s">
        <v>156</v>
      </c>
      <c r="G11" s="5" t="s">
        <v>157</v>
      </c>
      <c r="H11" s="5" t="s">
        <v>158</v>
      </c>
      <c r="I11" s="5" t="s">
        <v>159</v>
      </c>
      <c r="J11" s="6" t="s">
        <v>12</v>
      </c>
      <c r="K11" s="5" t="s">
        <v>160</v>
      </c>
      <c r="L11" s="5" t="s">
        <v>90</v>
      </c>
    </row>
    <row r="12" ht="26.4" spans="1:12">
      <c r="A12" s="5" t="s">
        <v>161</v>
      </c>
      <c r="B12" s="5" t="s">
        <v>162</v>
      </c>
      <c r="C12" s="5" t="s">
        <v>82</v>
      </c>
      <c r="D12" s="5" t="s">
        <v>163</v>
      </c>
      <c r="E12" s="5" t="s">
        <v>164</v>
      </c>
      <c r="F12" s="5" t="s">
        <v>165</v>
      </c>
      <c r="G12" s="5" t="s">
        <v>166</v>
      </c>
      <c r="H12" s="5" t="s">
        <v>167</v>
      </c>
      <c r="I12" s="5" t="s">
        <v>168</v>
      </c>
      <c r="J12" s="6" t="s">
        <v>12</v>
      </c>
      <c r="K12" s="5" t="s">
        <v>169</v>
      </c>
      <c r="L12" s="5" t="s">
        <v>90</v>
      </c>
    </row>
    <row r="13" ht="26.4" spans="1:12">
      <c r="A13" s="5" t="s">
        <v>170</v>
      </c>
      <c r="B13" s="5" t="s">
        <v>171</v>
      </c>
      <c r="C13" s="5" t="s">
        <v>82</v>
      </c>
      <c r="D13" s="5" t="s">
        <v>172</v>
      </c>
      <c r="E13" s="5" t="s">
        <v>173</v>
      </c>
      <c r="F13" s="5" t="s">
        <v>174</v>
      </c>
      <c r="G13" s="5" t="s">
        <v>175</v>
      </c>
      <c r="H13" s="5" t="s">
        <v>176</v>
      </c>
      <c r="I13" s="5" t="s">
        <v>177</v>
      </c>
      <c r="J13" s="7" t="s">
        <v>14</v>
      </c>
      <c r="K13" s="5" t="s">
        <v>178</v>
      </c>
      <c r="L13" s="5" t="s">
        <v>110</v>
      </c>
    </row>
    <row r="14" ht="26.4" spans="1:12">
      <c r="A14" s="5" t="s">
        <v>179</v>
      </c>
      <c r="B14" s="5" t="s">
        <v>171</v>
      </c>
      <c r="C14" s="5" t="s">
        <v>102</v>
      </c>
      <c r="D14" s="5" t="s">
        <v>180</v>
      </c>
      <c r="E14" s="5" t="s">
        <v>181</v>
      </c>
      <c r="F14" s="5" t="s">
        <v>182</v>
      </c>
      <c r="G14" s="5" t="s">
        <v>183</v>
      </c>
      <c r="H14" s="5" t="s">
        <v>184</v>
      </c>
      <c r="I14" s="5" t="s">
        <v>185</v>
      </c>
      <c r="J14" s="7" t="s">
        <v>14</v>
      </c>
      <c r="K14" s="5" t="s">
        <v>186</v>
      </c>
      <c r="L14" s="5" t="s">
        <v>110</v>
      </c>
    </row>
    <row r="15" ht="26.4" spans="1:12">
      <c r="A15" s="5" t="s">
        <v>187</v>
      </c>
      <c r="B15" s="5" t="s">
        <v>171</v>
      </c>
      <c r="C15" s="5" t="s">
        <v>102</v>
      </c>
      <c r="D15" s="5" t="s">
        <v>188</v>
      </c>
      <c r="E15" s="5" t="s">
        <v>189</v>
      </c>
      <c r="F15" s="5" t="s">
        <v>190</v>
      </c>
      <c r="G15" s="5" t="s">
        <v>191</v>
      </c>
      <c r="H15" s="5" t="s">
        <v>192</v>
      </c>
      <c r="I15" s="5" t="s">
        <v>193</v>
      </c>
      <c r="J15" s="7" t="s">
        <v>14</v>
      </c>
      <c r="K15" s="5" t="s">
        <v>194</v>
      </c>
      <c r="L15" s="5" t="s">
        <v>110</v>
      </c>
    </row>
    <row r="16" ht="26.4" spans="1:12">
      <c r="A16" s="5" t="s">
        <v>195</v>
      </c>
      <c r="B16" s="5" t="s">
        <v>171</v>
      </c>
      <c r="C16" s="5" t="s">
        <v>102</v>
      </c>
      <c r="D16" s="5" t="s">
        <v>196</v>
      </c>
      <c r="E16" s="5" t="s">
        <v>197</v>
      </c>
      <c r="F16" s="5" t="s">
        <v>198</v>
      </c>
      <c r="G16" s="5" t="s">
        <v>199</v>
      </c>
      <c r="H16" s="5" t="s">
        <v>200</v>
      </c>
      <c r="I16" s="5" t="s">
        <v>201</v>
      </c>
      <c r="J16" s="7" t="s">
        <v>14</v>
      </c>
      <c r="K16" s="5" t="s">
        <v>202</v>
      </c>
      <c r="L16" s="5" t="s">
        <v>110</v>
      </c>
    </row>
    <row r="17" ht="26.4" spans="1:12">
      <c r="A17" s="5" t="s">
        <v>203</v>
      </c>
      <c r="B17" s="5" t="s">
        <v>171</v>
      </c>
      <c r="C17" s="5" t="s">
        <v>128</v>
      </c>
      <c r="D17" s="5" t="s">
        <v>204</v>
      </c>
      <c r="E17" s="5" t="s">
        <v>197</v>
      </c>
      <c r="F17" s="5" t="s">
        <v>205</v>
      </c>
      <c r="G17" s="5" t="s">
        <v>206</v>
      </c>
      <c r="H17" s="5" t="s">
        <v>207</v>
      </c>
      <c r="I17" s="5" t="s">
        <v>208</v>
      </c>
      <c r="J17" s="7" t="s">
        <v>14</v>
      </c>
      <c r="K17" s="5" t="s">
        <v>209</v>
      </c>
      <c r="L17" s="5" t="s">
        <v>110</v>
      </c>
    </row>
    <row r="18" ht="39.6" spans="1:12">
      <c r="A18" s="5" t="s">
        <v>210</v>
      </c>
      <c r="B18" s="5" t="s">
        <v>211</v>
      </c>
      <c r="C18" s="5" t="s">
        <v>82</v>
      </c>
      <c r="D18" s="5" t="s">
        <v>212</v>
      </c>
      <c r="E18" s="5" t="s">
        <v>213</v>
      </c>
      <c r="F18" s="5" t="s">
        <v>214</v>
      </c>
      <c r="G18" s="5" t="s">
        <v>215</v>
      </c>
      <c r="H18" s="5" t="s">
        <v>216</v>
      </c>
      <c r="I18" s="5" t="s">
        <v>217</v>
      </c>
      <c r="J18" s="6" t="s">
        <v>12</v>
      </c>
      <c r="K18" s="5" t="s">
        <v>218</v>
      </c>
      <c r="L18" s="5" t="s">
        <v>90</v>
      </c>
    </row>
    <row r="19" ht="39.6" spans="1:12">
      <c r="A19" s="5" t="s">
        <v>219</v>
      </c>
      <c r="B19" s="5" t="s">
        <v>220</v>
      </c>
      <c r="C19" s="5" t="s">
        <v>102</v>
      </c>
      <c r="D19" s="5" t="s">
        <v>221</v>
      </c>
      <c r="E19" s="5" t="s">
        <v>222</v>
      </c>
      <c r="F19" s="5" t="s">
        <v>223</v>
      </c>
      <c r="G19" s="5" t="s">
        <v>224</v>
      </c>
      <c r="H19" s="5" t="s">
        <v>225</v>
      </c>
      <c r="I19" s="5" t="s">
        <v>226</v>
      </c>
      <c r="J19" s="6" t="s">
        <v>12</v>
      </c>
      <c r="K19" s="5" t="s">
        <v>227</v>
      </c>
      <c r="L19" s="5" t="s">
        <v>228</v>
      </c>
    </row>
    <row r="20" ht="26.4" spans="1:12">
      <c r="A20" s="5" t="s">
        <v>229</v>
      </c>
      <c r="B20" s="5" t="s">
        <v>211</v>
      </c>
      <c r="C20" s="5" t="s">
        <v>128</v>
      </c>
      <c r="D20" s="5" t="s">
        <v>230</v>
      </c>
      <c r="E20" s="5" t="s">
        <v>197</v>
      </c>
      <c r="F20" s="5" t="s">
        <v>231</v>
      </c>
      <c r="G20" s="5" t="s">
        <v>232</v>
      </c>
      <c r="H20" s="5" t="s">
        <v>233</v>
      </c>
      <c r="I20" s="5" t="s">
        <v>234</v>
      </c>
      <c r="J20" s="7" t="s">
        <v>14</v>
      </c>
      <c r="K20" s="5" t="s">
        <v>235</v>
      </c>
      <c r="L20" s="5" t="s">
        <v>110</v>
      </c>
    </row>
    <row r="21" ht="26.4" spans="1:12">
      <c r="A21" s="5" t="s">
        <v>236</v>
      </c>
      <c r="B21" s="5" t="s">
        <v>237</v>
      </c>
      <c r="C21" s="5" t="s">
        <v>82</v>
      </c>
      <c r="D21" s="5" t="s">
        <v>238</v>
      </c>
      <c r="E21" s="5" t="s">
        <v>197</v>
      </c>
      <c r="F21" s="5" t="s">
        <v>239</v>
      </c>
      <c r="G21" s="5" t="s">
        <v>240</v>
      </c>
      <c r="H21" s="5" t="s">
        <v>241</v>
      </c>
      <c r="I21" s="5" t="s">
        <v>242</v>
      </c>
      <c r="J21" s="7" t="s">
        <v>14</v>
      </c>
      <c r="K21" s="5" t="s">
        <v>243</v>
      </c>
      <c r="L21" s="5" t="s">
        <v>110</v>
      </c>
    </row>
    <row r="22" ht="26.4" spans="1:12">
      <c r="A22" s="5" t="s">
        <v>244</v>
      </c>
      <c r="B22" s="5" t="s">
        <v>245</v>
      </c>
      <c r="C22" s="5" t="s">
        <v>102</v>
      </c>
      <c r="D22" s="5" t="s">
        <v>246</v>
      </c>
      <c r="E22" s="5" t="s">
        <v>197</v>
      </c>
      <c r="F22" s="5" t="s">
        <v>247</v>
      </c>
      <c r="G22" s="5" t="s">
        <v>248</v>
      </c>
      <c r="H22" s="5" t="s">
        <v>249</v>
      </c>
      <c r="I22" s="5" t="s">
        <v>250</v>
      </c>
      <c r="J22" s="7" t="s">
        <v>14</v>
      </c>
      <c r="K22" s="5" t="s">
        <v>251</v>
      </c>
      <c r="L22" s="5" t="s">
        <v>110</v>
      </c>
    </row>
    <row r="23" ht="26.4" spans="1:12">
      <c r="A23" s="5" t="s">
        <v>252</v>
      </c>
      <c r="B23" s="5" t="s">
        <v>253</v>
      </c>
      <c r="C23" s="5" t="s">
        <v>128</v>
      </c>
      <c r="D23" s="5" t="s">
        <v>254</v>
      </c>
      <c r="E23" s="5" t="s">
        <v>255</v>
      </c>
      <c r="F23" s="5" t="s">
        <v>256</v>
      </c>
      <c r="G23" s="5" t="s">
        <v>257</v>
      </c>
      <c r="H23" s="5" t="s">
        <v>258</v>
      </c>
      <c r="I23" s="5" t="s">
        <v>259</v>
      </c>
      <c r="J23" s="7" t="s">
        <v>14</v>
      </c>
      <c r="K23" s="5" t="s">
        <v>260</v>
      </c>
      <c r="L23" s="5" t="s">
        <v>110</v>
      </c>
    </row>
    <row r="24" ht="26.4" spans="1:12">
      <c r="A24" s="5" t="s">
        <v>261</v>
      </c>
      <c r="B24" s="5" t="s">
        <v>253</v>
      </c>
      <c r="C24" s="5" t="s">
        <v>128</v>
      </c>
      <c r="D24" s="5" t="s">
        <v>262</v>
      </c>
      <c r="E24" s="5" t="s">
        <v>263</v>
      </c>
      <c r="F24" s="5" t="s">
        <v>264</v>
      </c>
      <c r="G24" s="5" t="s">
        <v>265</v>
      </c>
      <c r="H24" s="5" t="s">
        <v>266</v>
      </c>
      <c r="I24" s="5" t="s">
        <v>267</v>
      </c>
      <c r="J24" s="7" t="s">
        <v>14</v>
      </c>
      <c r="K24" s="5" t="s">
        <v>268</v>
      </c>
      <c r="L24" s="5" t="s">
        <v>110</v>
      </c>
    </row>
    <row r="25" ht="39.6" spans="1:12">
      <c r="A25" s="5" t="s">
        <v>269</v>
      </c>
      <c r="B25" s="5" t="s">
        <v>270</v>
      </c>
      <c r="C25" s="5" t="s">
        <v>128</v>
      </c>
      <c r="D25" s="5" t="s">
        <v>271</v>
      </c>
      <c r="E25" s="5" t="s">
        <v>272</v>
      </c>
      <c r="F25" s="5" t="s">
        <v>273</v>
      </c>
      <c r="G25" s="5" t="s">
        <v>274</v>
      </c>
      <c r="H25" s="5" t="s">
        <v>275</v>
      </c>
      <c r="I25" s="5" t="s">
        <v>276</v>
      </c>
      <c r="J25" s="7" t="s">
        <v>14</v>
      </c>
      <c r="K25" s="5" t="s">
        <v>277</v>
      </c>
      <c r="L25" s="5" t="s">
        <v>110</v>
      </c>
    </row>
    <row r="26" ht="39.6" spans="1:12">
      <c r="A26" s="5" t="s">
        <v>278</v>
      </c>
      <c r="B26" s="5" t="s">
        <v>279</v>
      </c>
      <c r="C26" s="5" t="s">
        <v>82</v>
      </c>
      <c r="D26" s="5" t="s">
        <v>280</v>
      </c>
      <c r="E26" s="5" t="s">
        <v>281</v>
      </c>
      <c r="F26" s="5" t="s">
        <v>282</v>
      </c>
      <c r="G26" s="5" t="s">
        <v>283</v>
      </c>
      <c r="H26" s="5" t="s">
        <v>284</v>
      </c>
      <c r="I26" s="5" t="s">
        <v>285</v>
      </c>
      <c r="J26" s="6" t="s">
        <v>12</v>
      </c>
      <c r="K26" s="5" t="s">
        <v>286</v>
      </c>
      <c r="L26" s="5" t="s">
        <v>90</v>
      </c>
    </row>
    <row r="27" ht="52.8" spans="1:12">
      <c r="A27" s="5" t="s">
        <v>287</v>
      </c>
      <c r="B27" s="5" t="s">
        <v>279</v>
      </c>
      <c r="C27" s="5" t="s">
        <v>102</v>
      </c>
      <c r="D27" s="5" t="s">
        <v>288</v>
      </c>
      <c r="E27" s="5" t="s">
        <v>281</v>
      </c>
      <c r="F27" s="5" t="s">
        <v>289</v>
      </c>
      <c r="G27" s="5" t="s">
        <v>290</v>
      </c>
      <c r="H27" s="5" t="s">
        <v>291</v>
      </c>
      <c r="I27" s="5" t="s">
        <v>292</v>
      </c>
      <c r="J27" s="6" t="s">
        <v>12</v>
      </c>
      <c r="K27" s="5" t="s">
        <v>293</v>
      </c>
      <c r="L27" s="5" t="s">
        <v>90</v>
      </c>
    </row>
    <row r="28" ht="52.8" spans="1:12">
      <c r="A28" s="5" t="s">
        <v>294</v>
      </c>
      <c r="B28" s="5" t="s">
        <v>279</v>
      </c>
      <c r="C28" s="5" t="s">
        <v>128</v>
      </c>
      <c r="D28" s="5" t="s">
        <v>295</v>
      </c>
      <c r="E28" s="5" t="s">
        <v>281</v>
      </c>
      <c r="F28" s="5" t="s">
        <v>296</v>
      </c>
      <c r="G28" s="5" t="s">
        <v>297</v>
      </c>
      <c r="H28" s="5" t="s">
        <v>298</v>
      </c>
      <c r="I28" s="5" t="s">
        <v>299</v>
      </c>
      <c r="J28" s="6" t="s">
        <v>12</v>
      </c>
      <c r="K28" s="5" t="s">
        <v>300</v>
      </c>
      <c r="L28" s="5" t="s">
        <v>90</v>
      </c>
    </row>
    <row r="29" ht="26.4" spans="1:12">
      <c r="A29" s="5" t="s">
        <v>301</v>
      </c>
      <c r="B29" s="5" t="s">
        <v>302</v>
      </c>
      <c r="C29" s="5" t="s">
        <v>82</v>
      </c>
      <c r="D29" s="5" t="s">
        <v>303</v>
      </c>
      <c r="E29" s="5" t="s">
        <v>304</v>
      </c>
      <c r="F29" s="5" t="s">
        <v>305</v>
      </c>
      <c r="G29" s="5" t="s">
        <v>306</v>
      </c>
      <c r="H29" s="5" t="s">
        <v>307</v>
      </c>
      <c r="I29" s="5" t="s">
        <v>308</v>
      </c>
      <c r="J29" s="6" t="s">
        <v>12</v>
      </c>
      <c r="K29" s="5" t="s">
        <v>309</v>
      </c>
      <c r="L29" s="5" t="s">
        <v>90</v>
      </c>
    </row>
    <row r="30" ht="52.8" spans="1:12">
      <c r="A30" s="5" t="s">
        <v>310</v>
      </c>
      <c r="B30" s="5" t="s">
        <v>311</v>
      </c>
      <c r="C30" s="5" t="s">
        <v>82</v>
      </c>
      <c r="D30" s="5" t="s">
        <v>312</v>
      </c>
      <c r="E30" s="5" t="s">
        <v>313</v>
      </c>
      <c r="F30" s="5" t="s">
        <v>314</v>
      </c>
      <c r="G30" s="5" t="s">
        <v>315</v>
      </c>
      <c r="H30" s="5" t="s">
        <v>316</v>
      </c>
      <c r="I30" s="5" t="s">
        <v>317</v>
      </c>
      <c r="J30" s="6" t="s">
        <v>12</v>
      </c>
      <c r="K30" s="5" t="s">
        <v>318</v>
      </c>
      <c r="L30" s="5" t="s">
        <v>90</v>
      </c>
    </row>
    <row r="31" ht="39.6" spans="1:12">
      <c r="A31" s="5" t="s">
        <v>319</v>
      </c>
      <c r="B31" s="5" t="s">
        <v>320</v>
      </c>
      <c r="C31" s="5" t="s">
        <v>82</v>
      </c>
      <c r="D31" s="5" t="s">
        <v>321</v>
      </c>
      <c r="E31" s="5" t="s">
        <v>322</v>
      </c>
      <c r="F31" s="5" t="s">
        <v>323</v>
      </c>
      <c r="G31" s="5" t="s">
        <v>324</v>
      </c>
      <c r="H31" s="5" t="s">
        <v>325</v>
      </c>
      <c r="I31" s="5" t="s">
        <v>326</v>
      </c>
      <c r="J31" s="6" t="s">
        <v>12</v>
      </c>
      <c r="K31" s="5" t="s">
        <v>309</v>
      </c>
      <c r="L31" s="5" t="s">
        <v>90</v>
      </c>
    </row>
    <row r="32" ht="39.6" spans="1:12">
      <c r="A32" s="5" t="s">
        <v>327</v>
      </c>
      <c r="B32" s="5" t="s">
        <v>328</v>
      </c>
      <c r="C32" s="5" t="s">
        <v>82</v>
      </c>
      <c r="D32" s="5" t="s">
        <v>329</v>
      </c>
      <c r="E32" s="5" t="s">
        <v>330</v>
      </c>
      <c r="F32" s="5" t="s">
        <v>331</v>
      </c>
      <c r="G32" s="5" t="s">
        <v>332</v>
      </c>
      <c r="H32" s="5" t="s">
        <v>333</v>
      </c>
      <c r="I32" s="5" t="s">
        <v>334</v>
      </c>
      <c r="J32" s="6" t="s">
        <v>12</v>
      </c>
      <c r="K32" s="5" t="s">
        <v>335</v>
      </c>
      <c r="L32" s="5" t="s">
        <v>336</v>
      </c>
    </row>
    <row r="33" ht="52.8" spans="1:12">
      <c r="A33" s="5" t="s">
        <v>337</v>
      </c>
      <c r="B33" s="5" t="s">
        <v>328</v>
      </c>
      <c r="C33" s="5" t="s">
        <v>128</v>
      </c>
      <c r="D33" s="5" t="s">
        <v>338</v>
      </c>
      <c r="E33" s="5" t="s">
        <v>339</v>
      </c>
      <c r="F33" s="5" t="s">
        <v>340</v>
      </c>
      <c r="G33" s="5" t="s">
        <v>341</v>
      </c>
      <c r="H33" s="5" t="s">
        <v>342</v>
      </c>
      <c r="I33" s="5" t="s">
        <v>343</v>
      </c>
      <c r="J33" s="6" t="s">
        <v>12</v>
      </c>
      <c r="K33" s="5" t="s">
        <v>344</v>
      </c>
      <c r="L33" s="5" t="s">
        <v>90</v>
      </c>
    </row>
    <row r="34" ht="26.4" spans="1:12">
      <c r="A34" s="5" t="s">
        <v>345</v>
      </c>
      <c r="B34" s="5" t="s">
        <v>346</v>
      </c>
      <c r="C34" s="5" t="s">
        <v>347</v>
      </c>
      <c r="D34" s="5" t="s">
        <v>348</v>
      </c>
      <c r="E34" s="5" t="s">
        <v>349</v>
      </c>
      <c r="F34" s="5" t="s">
        <v>350</v>
      </c>
      <c r="G34" s="5" t="s">
        <v>351</v>
      </c>
      <c r="H34" s="5" t="s">
        <v>352</v>
      </c>
      <c r="I34" s="5" t="s">
        <v>353</v>
      </c>
      <c r="J34" s="7" t="s">
        <v>14</v>
      </c>
      <c r="K34" s="5" t="s">
        <v>354</v>
      </c>
      <c r="L34" s="5" t="s">
        <v>110</v>
      </c>
    </row>
    <row r="35" ht="26.4" spans="1:12">
      <c r="A35" s="5" t="s">
        <v>355</v>
      </c>
      <c r="B35" s="5" t="s">
        <v>356</v>
      </c>
      <c r="C35" s="5" t="s">
        <v>347</v>
      </c>
      <c r="D35" s="5" t="s">
        <v>357</v>
      </c>
      <c r="E35" s="5" t="s">
        <v>358</v>
      </c>
      <c r="F35" s="5" t="s">
        <v>359</v>
      </c>
      <c r="G35" s="5" t="s">
        <v>360</v>
      </c>
      <c r="H35" s="5" t="s">
        <v>361</v>
      </c>
      <c r="I35" s="5" t="s">
        <v>362</v>
      </c>
      <c r="J35" s="7" t="s">
        <v>14</v>
      </c>
      <c r="K35" s="5" t="s">
        <v>363</v>
      </c>
      <c r="L35" s="5" t="s">
        <v>110</v>
      </c>
    </row>
    <row r="36" ht="52.8" spans="1:12">
      <c r="A36" s="5" t="s">
        <v>364</v>
      </c>
      <c r="B36" s="5" t="s">
        <v>365</v>
      </c>
      <c r="C36" s="5" t="s">
        <v>347</v>
      </c>
      <c r="D36" s="5" t="s">
        <v>366</v>
      </c>
      <c r="E36" s="5" t="s">
        <v>367</v>
      </c>
      <c r="F36" s="5" t="s">
        <v>368</v>
      </c>
      <c r="G36" s="5" t="s">
        <v>369</v>
      </c>
      <c r="H36" s="5" t="s">
        <v>370</v>
      </c>
      <c r="I36" s="5" t="s">
        <v>371</v>
      </c>
      <c r="J36" s="6" t="s">
        <v>12</v>
      </c>
      <c r="K36" s="5" t="s">
        <v>372</v>
      </c>
      <c r="L36" s="5" t="s">
        <v>90</v>
      </c>
    </row>
    <row r="37" ht="26.4" spans="1:12">
      <c r="A37" s="5" t="s">
        <v>373</v>
      </c>
      <c r="B37" s="5" t="s">
        <v>374</v>
      </c>
      <c r="C37" s="5" t="s">
        <v>347</v>
      </c>
      <c r="D37" s="5" t="s">
        <v>375</v>
      </c>
      <c r="E37" s="5" t="s">
        <v>376</v>
      </c>
      <c r="F37" s="5" t="s">
        <v>377</v>
      </c>
      <c r="G37" s="5" t="s">
        <v>378</v>
      </c>
      <c r="H37" s="5" t="s">
        <v>379</v>
      </c>
      <c r="I37" s="5" t="s">
        <v>380</v>
      </c>
      <c r="J37" s="7" t="s">
        <v>14</v>
      </c>
      <c r="K37" s="5" t="s">
        <v>354</v>
      </c>
      <c r="L37" s="5" t="s">
        <v>110</v>
      </c>
    </row>
    <row r="38" ht="26.4" spans="1:12">
      <c r="A38" s="5" t="s">
        <v>381</v>
      </c>
      <c r="B38" s="5" t="s">
        <v>382</v>
      </c>
      <c r="C38" s="5" t="s">
        <v>102</v>
      </c>
      <c r="D38" s="5" t="s">
        <v>383</v>
      </c>
      <c r="E38" s="5" t="s">
        <v>384</v>
      </c>
      <c r="F38" s="5" t="s">
        <v>385</v>
      </c>
      <c r="G38" s="5" t="s">
        <v>386</v>
      </c>
      <c r="H38" s="5" t="s">
        <v>387</v>
      </c>
      <c r="I38" s="5" t="s">
        <v>388</v>
      </c>
      <c r="J38" s="6" t="s">
        <v>12</v>
      </c>
      <c r="K38" s="5" t="s">
        <v>389</v>
      </c>
      <c r="L38" s="5" t="s">
        <v>390</v>
      </c>
    </row>
    <row r="39" ht="26.4" spans="1:12">
      <c r="A39" s="5" t="s">
        <v>391</v>
      </c>
      <c r="B39" s="5" t="s">
        <v>392</v>
      </c>
      <c r="C39" s="5" t="s">
        <v>347</v>
      </c>
      <c r="D39" s="5" t="s">
        <v>393</v>
      </c>
      <c r="E39" s="5" t="s">
        <v>384</v>
      </c>
      <c r="F39" s="5" t="s">
        <v>394</v>
      </c>
      <c r="G39" s="5" t="s">
        <v>395</v>
      </c>
      <c r="H39" s="5" t="s">
        <v>396</v>
      </c>
      <c r="I39" s="5" t="s">
        <v>397</v>
      </c>
      <c r="J39" s="6" t="s">
        <v>12</v>
      </c>
      <c r="K39" s="5" t="s">
        <v>398</v>
      </c>
      <c r="L39" s="5" t="s">
        <v>399</v>
      </c>
    </row>
    <row r="40" ht="26.4" spans="1:12">
      <c r="A40" s="5" t="s">
        <v>400</v>
      </c>
      <c r="B40" s="5" t="s">
        <v>401</v>
      </c>
      <c r="C40" s="5" t="s">
        <v>402</v>
      </c>
      <c r="D40" s="5" t="s">
        <v>403</v>
      </c>
      <c r="E40" s="5" t="s">
        <v>404</v>
      </c>
      <c r="F40" s="5" t="s">
        <v>405</v>
      </c>
      <c r="G40" s="5" t="s">
        <v>406</v>
      </c>
      <c r="H40" s="5" t="s">
        <v>407</v>
      </c>
      <c r="I40" s="5" t="s">
        <v>408</v>
      </c>
      <c r="J40" s="7" t="s">
        <v>14</v>
      </c>
      <c r="K40" s="5" t="s">
        <v>409</v>
      </c>
      <c r="L40" s="5" t="s">
        <v>110</v>
      </c>
    </row>
    <row r="41" ht="26.4" spans="1:12">
      <c r="A41" s="5" t="s">
        <v>410</v>
      </c>
      <c r="B41" s="5" t="s">
        <v>401</v>
      </c>
      <c r="C41" s="5" t="s">
        <v>402</v>
      </c>
      <c r="D41" s="5" t="s">
        <v>411</v>
      </c>
      <c r="E41" s="5" t="s">
        <v>412</v>
      </c>
      <c r="F41" s="5" t="s">
        <v>413</v>
      </c>
      <c r="G41" s="5" t="s">
        <v>414</v>
      </c>
      <c r="H41" s="5" t="s">
        <v>415</v>
      </c>
      <c r="I41" s="5" t="s">
        <v>416</v>
      </c>
      <c r="J41" s="7" t="s">
        <v>14</v>
      </c>
      <c r="K41" s="5" t="s">
        <v>409</v>
      </c>
      <c r="L41" s="5" t="s">
        <v>110</v>
      </c>
    </row>
  </sheetData>
  <mergeCells count="1">
    <mergeCell ref="A1:L1"/>
  </mergeCells>
  <pageMargins left="0.75" right="0.75" top="1" bottom="1" header="0.5" footer="0.5"/>
  <pageSetup paperSize="9" fitToHeight="0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F10"/>
  <sheetViews>
    <sheetView workbookViewId="0">
      <pane ySplit="1" topLeftCell="A2" activePane="bottomLeft" state="frozenSplit"/>
      <selection/>
      <selection pane="bottomLeft" activeCell="A1" sqref="A1"/>
    </sheetView>
  </sheetViews>
  <sheetFormatPr defaultColWidth="8.88888888888889" defaultRowHeight="13.2" outlineLevelCol="5"/>
  <cols>
    <col min="1" max="1" width="34.7777777777778" style="1" customWidth="1"/>
    <col min="2" max="2" width="16.7777777777778" style="1" customWidth="1"/>
    <col min="3" max="3" width="55.7777777777778" style="1" customWidth="1"/>
    <col min="4" max="4" width="12.7777777777778" style="1" customWidth="1"/>
    <col min="5" max="5" width="57.7777777777778" style="1" customWidth="1"/>
    <col min="6" max="6" width="37.7777777777778" style="1" customWidth="1"/>
    <col min="7" max="16384" width="8.88888888888889" style="1"/>
  </cols>
  <sheetData>
    <row r="1" ht="28" customHeight="1" spans="1:6">
      <c r="A1" s="2" t="s">
        <v>417</v>
      </c>
      <c r="B1" s="3"/>
      <c r="C1" s="3"/>
      <c r="D1" s="3"/>
      <c r="E1" s="3"/>
      <c r="F1" s="3"/>
    </row>
    <row r="2" ht="34" customHeight="1" spans="1:6">
      <c r="A2" s="4" t="s">
        <v>418</v>
      </c>
      <c r="B2" s="4" t="s">
        <v>419</v>
      </c>
      <c r="C2" s="4" t="s">
        <v>420</v>
      </c>
      <c r="D2" s="4" t="s">
        <v>70</v>
      </c>
      <c r="E2" s="4" t="s">
        <v>421</v>
      </c>
      <c r="F2" s="4" t="s">
        <v>77</v>
      </c>
    </row>
    <row r="3" spans="1:6">
      <c r="A3" s="5" t="s">
        <v>422</v>
      </c>
      <c r="B3" s="5" t="s">
        <v>423</v>
      </c>
      <c r="C3" s="5" t="s">
        <v>424</v>
      </c>
      <c r="D3" s="5" t="s">
        <v>425</v>
      </c>
      <c r="E3" s="5" t="s">
        <v>426</v>
      </c>
      <c r="F3" s="5" t="s">
        <v>427</v>
      </c>
    </row>
    <row r="4" ht="26.4" spans="1:6">
      <c r="A4" s="5" t="s">
        <v>428</v>
      </c>
      <c r="B4" s="5" t="s">
        <v>429</v>
      </c>
      <c r="C4" s="5" t="s">
        <v>430</v>
      </c>
      <c r="D4" s="5" t="s">
        <v>425</v>
      </c>
      <c r="E4" s="5" t="s">
        <v>431</v>
      </c>
      <c r="F4" s="5" t="s">
        <v>427</v>
      </c>
    </row>
    <row r="5" spans="1:6">
      <c r="A5" s="5" t="s">
        <v>432</v>
      </c>
      <c r="B5" s="5" t="s">
        <v>433</v>
      </c>
      <c r="C5" s="5" t="s">
        <v>434</v>
      </c>
      <c r="D5" s="5" t="s">
        <v>425</v>
      </c>
      <c r="E5" s="5" t="s">
        <v>435</v>
      </c>
      <c r="F5" s="5" t="s">
        <v>436</v>
      </c>
    </row>
    <row r="6" spans="1:6">
      <c r="A6" s="5" t="s">
        <v>437</v>
      </c>
      <c r="B6" s="5" t="s">
        <v>438</v>
      </c>
      <c r="C6" s="5" t="s">
        <v>439</v>
      </c>
      <c r="D6" s="5" t="s">
        <v>425</v>
      </c>
      <c r="E6" s="5" t="s">
        <v>440</v>
      </c>
      <c r="F6" s="5" t="s">
        <v>441</v>
      </c>
    </row>
    <row r="7" spans="1:6">
      <c r="A7" s="5" t="s">
        <v>442</v>
      </c>
      <c r="B7" s="5" t="s">
        <v>443</v>
      </c>
      <c r="C7" s="5" t="s">
        <v>439</v>
      </c>
      <c r="D7" s="5" t="s">
        <v>425</v>
      </c>
      <c r="E7" s="5" t="s">
        <v>440</v>
      </c>
      <c r="F7" s="5" t="s">
        <v>441</v>
      </c>
    </row>
    <row r="8" spans="1:6">
      <c r="A8" s="5" t="s">
        <v>444</v>
      </c>
      <c r="B8" s="5" t="s">
        <v>443</v>
      </c>
      <c r="C8" s="5" t="s">
        <v>445</v>
      </c>
      <c r="D8" s="5" t="s">
        <v>446</v>
      </c>
      <c r="E8" s="5" t="s">
        <v>447</v>
      </c>
      <c r="F8" s="5" t="s">
        <v>448</v>
      </c>
    </row>
    <row r="9" spans="1:6">
      <c r="A9" s="5" t="s">
        <v>449</v>
      </c>
      <c r="B9" s="5" t="s">
        <v>90</v>
      </c>
      <c r="C9" s="5" t="s">
        <v>450</v>
      </c>
      <c r="D9" s="5" t="s">
        <v>451</v>
      </c>
      <c r="E9" s="5" t="s">
        <v>452</v>
      </c>
      <c r="F9" s="5" t="s">
        <v>436</v>
      </c>
    </row>
    <row r="10" spans="1:6">
      <c r="A10" s="5" t="s">
        <v>453</v>
      </c>
      <c r="B10" s="5" t="s">
        <v>454</v>
      </c>
      <c r="C10" s="5" t="s">
        <v>455</v>
      </c>
      <c r="D10" s="5" t="s">
        <v>425</v>
      </c>
      <c r="E10" s="5" t="s">
        <v>452</v>
      </c>
      <c r="F10" s="5" t="s">
        <v>436</v>
      </c>
    </row>
  </sheetData>
  <mergeCells count="1">
    <mergeCell ref="A1:F1"/>
  </mergeCells>
  <pageMargins left="0.75" right="0.75" top="1" bottom="1" header="0.5" footer="0.5"/>
  <pageSetup paperSize="9" fitToHeight="0" orientation="landscape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12"/>
  <sheetViews>
    <sheetView workbookViewId="0">
      <pane ySplit="1" topLeftCell="A2" activePane="bottomLeft" state="frozenSplit"/>
      <selection/>
      <selection pane="bottomLeft" activeCell="A1" sqref="A1"/>
    </sheetView>
  </sheetViews>
  <sheetFormatPr defaultColWidth="8.88888888888889" defaultRowHeight="13.2" outlineLevelCol="6"/>
  <cols>
    <col min="1" max="1" width="36.7777777777778" style="1" customWidth="1"/>
    <col min="2" max="2" width="22.7777777777778" style="1" customWidth="1"/>
    <col min="3" max="3" width="14.7777777777778" style="1" customWidth="1"/>
    <col min="4" max="4" width="13.7777777777778" style="1" customWidth="1"/>
    <col min="5" max="5" width="25.7777777777778" style="1" customWidth="1"/>
    <col min="6" max="6" width="16.7777777777778" style="1" customWidth="1"/>
    <col min="7" max="7" width="65.7777777777778" style="1" customWidth="1"/>
    <col min="8" max="16384" width="8.88888888888889" style="1"/>
  </cols>
  <sheetData>
    <row r="1" ht="28" customHeight="1" spans="1:7">
      <c r="A1" s="2" t="s">
        <v>456</v>
      </c>
      <c r="B1" s="3"/>
      <c r="C1" s="3"/>
      <c r="D1" s="3"/>
      <c r="E1" s="3"/>
      <c r="F1" s="3"/>
      <c r="G1" s="3"/>
    </row>
    <row r="2" ht="34" customHeight="1" spans="1:7">
      <c r="A2" s="4" t="s">
        <v>457</v>
      </c>
      <c r="B2" s="4" t="s">
        <v>458</v>
      </c>
      <c r="C2" s="4" t="s">
        <v>459</v>
      </c>
      <c r="D2" s="4" t="s">
        <v>460</v>
      </c>
      <c r="E2" s="4" t="s">
        <v>461</v>
      </c>
      <c r="F2" s="4" t="s">
        <v>77</v>
      </c>
      <c r="G2" s="4" t="s">
        <v>462</v>
      </c>
    </row>
    <row r="3" spans="1:7">
      <c r="A3" s="5" t="s">
        <v>463</v>
      </c>
      <c r="B3" s="5" t="s">
        <v>464</v>
      </c>
      <c r="C3" s="5" t="s">
        <v>465</v>
      </c>
      <c r="D3" s="5" t="s">
        <v>454</v>
      </c>
      <c r="E3" s="5" t="s">
        <v>90</v>
      </c>
      <c r="F3" s="5" t="s">
        <v>14</v>
      </c>
      <c r="G3" s="5" t="s">
        <v>466</v>
      </c>
    </row>
    <row r="4" spans="1:7">
      <c r="A4" s="5" t="s">
        <v>467</v>
      </c>
      <c r="B4" s="5" t="s">
        <v>468</v>
      </c>
      <c r="C4" s="5" t="s">
        <v>465</v>
      </c>
      <c r="D4" s="5" t="s">
        <v>454</v>
      </c>
      <c r="E4" s="5" t="s">
        <v>90</v>
      </c>
      <c r="F4" s="5" t="s">
        <v>14</v>
      </c>
      <c r="G4" s="5" t="s">
        <v>466</v>
      </c>
    </row>
    <row r="5" spans="1:7">
      <c r="A5" s="5" t="s">
        <v>469</v>
      </c>
      <c r="B5" s="5" t="s">
        <v>470</v>
      </c>
      <c r="C5" s="5" t="s">
        <v>465</v>
      </c>
      <c r="D5" s="5" t="s">
        <v>454</v>
      </c>
      <c r="E5" s="5" t="s">
        <v>90</v>
      </c>
      <c r="F5" s="5" t="s">
        <v>14</v>
      </c>
      <c r="G5" s="5" t="s">
        <v>466</v>
      </c>
    </row>
    <row r="6" spans="1:7">
      <c r="A6" s="5" t="s">
        <v>471</v>
      </c>
      <c r="B6" s="5" t="s">
        <v>472</v>
      </c>
      <c r="C6" s="5" t="s">
        <v>465</v>
      </c>
      <c r="D6" s="5" t="s">
        <v>454</v>
      </c>
      <c r="E6" s="5" t="s">
        <v>90</v>
      </c>
      <c r="F6" s="5" t="s">
        <v>14</v>
      </c>
      <c r="G6" s="5" t="s">
        <v>466</v>
      </c>
    </row>
    <row r="7" spans="1:7">
      <c r="A7" s="5" t="s">
        <v>473</v>
      </c>
      <c r="B7" s="5" t="s">
        <v>474</v>
      </c>
      <c r="C7" s="5" t="s">
        <v>465</v>
      </c>
      <c r="D7" s="5" t="s">
        <v>454</v>
      </c>
      <c r="E7" s="5" t="s">
        <v>90</v>
      </c>
      <c r="F7" s="5" t="s">
        <v>14</v>
      </c>
      <c r="G7" s="5" t="s">
        <v>466</v>
      </c>
    </row>
    <row r="8" spans="1:7">
      <c r="A8" s="5" t="s">
        <v>475</v>
      </c>
      <c r="B8" s="5" t="s">
        <v>468</v>
      </c>
      <c r="C8" s="5" t="s">
        <v>465</v>
      </c>
      <c r="D8" s="5" t="s">
        <v>454</v>
      </c>
      <c r="E8" s="5" t="s">
        <v>90</v>
      </c>
      <c r="F8" s="5" t="s">
        <v>14</v>
      </c>
      <c r="G8" s="5" t="s">
        <v>466</v>
      </c>
    </row>
    <row r="9" spans="1:7">
      <c r="A9" s="5" t="s">
        <v>476</v>
      </c>
      <c r="B9" s="5" t="s">
        <v>470</v>
      </c>
      <c r="C9" s="5" t="s">
        <v>465</v>
      </c>
      <c r="D9" s="5" t="s">
        <v>454</v>
      </c>
      <c r="E9" s="5" t="s">
        <v>90</v>
      </c>
      <c r="F9" s="5" t="s">
        <v>14</v>
      </c>
      <c r="G9" s="5" t="s">
        <v>466</v>
      </c>
    </row>
    <row r="10" spans="1:7">
      <c r="A10" s="5" t="s">
        <v>477</v>
      </c>
      <c r="B10" s="5" t="s">
        <v>464</v>
      </c>
      <c r="C10" s="5" t="s">
        <v>465</v>
      </c>
      <c r="D10" s="5" t="s">
        <v>454</v>
      </c>
      <c r="E10" s="5" t="s">
        <v>90</v>
      </c>
      <c r="F10" s="5" t="s">
        <v>14</v>
      </c>
      <c r="G10" s="5" t="s">
        <v>466</v>
      </c>
    </row>
    <row r="11" spans="1:7">
      <c r="A11" s="5" t="s">
        <v>478</v>
      </c>
      <c r="B11" s="5" t="s">
        <v>479</v>
      </c>
      <c r="C11" s="5" t="s">
        <v>465</v>
      </c>
      <c r="D11" s="5" t="s">
        <v>454</v>
      </c>
      <c r="E11" s="5" t="s">
        <v>90</v>
      </c>
      <c r="F11" s="5" t="s">
        <v>14</v>
      </c>
      <c r="G11" s="5" t="s">
        <v>466</v>
      </c>
    </row>
    <row r="12" spans="1:7">
      <c r="A12" s="5" t="s">
        <v>480</v>
      </c>
      <c r="B12" s="5" t="s">
        <v>464</v>
      </c>
      <c r="C12" s="5" t="s">
        <v>465</v>
      </c>
      <c r="D12" s="5" t="s">
        <v>454</v>
      </c>
      <c r="E12" s="5" t="s">
        <v>90</v>
      </c>
      <c r="F12" s="5" t="s">
        <v>14</v>
      </c>
      <c r="G12" s="5" t="s">
        <v>466</v>
      </c>
    </row>
  </sheetData>
  <mergeCells count="1">
    <mergeCell ref="A1:G1"/>
  </mergeCells>
  <pageMargins left="0.75" right="0.75" top="1" bottom="1" header="0.5" footer="0.5"/>
  <pageSetup paperSize="9" fitToHeight="0" orientation="landscape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7"/>
  <sheetViews>
    <sheetView tabSelected="1" workbookViewId="0">
      <pane ySplit="1" topLeftCell="A2" activePane="bottomLeft" state="frozenSplit"/>
      <selection/>
      <selection pane="bottomLeft" activeCell="A1" sqref="A1"/>
    </sheetView>
  </sheetViews>
  <sheetFormatPr defaultColWidth="8.88888888888889" defaultRowHeight="13.2" outlineLevelRow="6" outlineLevelCol="6"/>
  <cols>
    <col min="1" max="1" width="16.7777777777778" style="1" customWidth="1"/>
    <col min="2" max="2" width="20.7777777777778" style="1" customWidth="1"/>
    <col min="3" max="3" width="60.7777777777778" style="1" customWidth="1"/>
    <col min="4" max="4" width="16.7777777777778" style="1" customWidth="1"/>
    <col min="5" max="5" width="18.7777777777778" style="1" customWidth="1"/>
    <col min="6" max="6" width="55.7777777777778" style="1" customWidth="1"/>
    <col min="7" max="7" width="85.7777777777778" style="1" customWidth="1"/>
    <col min="8" max="16384" width="8.88888888888889" style="1"/>
  </cols>
  <sheetData>
    <row r="1" ht="28" customHeight="1" spans="1:7">
      <c r="A1" s="2" t="s">
        <v>481</v>
      </c>
      <c r="B1" s="3"/>
      <c r="C1" s="3"/>
      <c r="D1" s="3"/>
      <c r="E1" s="3"/>
      <c r="F1" s="3"/>
      <c r="G1" s="3"/>
    </row>
    <row r="2" ht="34" customHeight="1" spans="1:7">
      <c r="A2" s="4" t="s">
        <v>482</v>
      </c>
      <c r="B2" s="4" t="s">
        <v>483</v>
      </c>
      <c r="C2" s="4" t="s">
        <v>71</v>
      </c>
      <c r="D2" s="4" t="s">
        <v>484</v>
      </c>
      <c r="E2" s="4" t="s">
        <v>485</v>
      </c>
      <c r="F2" s="4" t="s">
        <v>486</v>
      </c>
      <c r="G2" s="4" t="s">
        <v>487</v>
      </c>
    </row>
    <row r="3" ht="52.8" spans="1:7">
      <c r="A3" s="5" t="s">
        <v>488</v>
      </c>
      <c r="B3" s="5" t="s">
        <v>120</v>
      </c>
      <c r="C3" s="5" t="s">
        <v>489</v>
      </c>
      <c r="D3" s="5" t="s">
        <v>490</v>
      </c>
      <c r="E3" s="5" t="s">
        <v>491</v>
      </c>
      <c r="F3" s="5" t="s">
        <v>492</v>
      </c>
      <c r="G3" s="5" t="s">
        <v>493</v>
      </c>
    </row>
    <row r="4" ht="26.4" spans="1:7">
      <c r="A4" s="5" t="s">
        <v>494</v>
      </c>
      <c r="B4" s="5" t="s">
        <v>495</v>
      </c>
      <c r="C4" s="5" t="s">
        <v>496</v>
      </c>
      <c r="D4" s="5" t="s">
        <v>490</v>
      </c>
      <c r="E4" s="5" t="s">
        <v>491</v>
      </c>
      <c r="F4" s="5" t="s">
        <v>492</v>
      </c>
      <c r="G4" s="5" t="s">
        <v>497</v>
      </c>
    </row>
    <row r="5" ht="26.4" spans="1:7">
      <c r="A5" s="5" t="s">
        <v>498</v>
      </c>
      <c r="B5" s="5" t="s">
        <v>210</v>
      </c>
      <c r="C5" s="5" t="s">
        <v>499</v>
      </c>
      <c r="D5" s="5" t="s">
        <v>500</v>
      </c>
      <c r="E5" s="5" t="s">
        <v>491</v>
      </c>
      <c r="F5" s="5" t="s">
        <v>492</v>
      </c>
      <c r="G5" s="5" t="s">
        <v>501</v>
      </c>
    </row>
    <row r="6" ht="26.4" spans="1:7">
      <c r="A6" s="5" t="s">
        <v>502</v>
      </c>
      <c r="B6" s="5" t="s">
        <v>503</v>
      </c>
      <c r="C6" s="5" t="s">
        <v>504</v>
      </c>
      <c r="D6" s="5" t="s">
        <v>505</v>
      </c>
      <c r="E6" s="5" t="s">
        <v>506</v>
      </c>
      <c r="F6" s="5" t="s">
        <v>507</v>
      </c>
      <c r="G6" s="5" t="s">
        <v>508</v>
      </c>
    </row>
    <row r="7" spans="1:7">
      <c r="A7" s="5" t="s">
        <v>509</v>
      </c>
      <c r="B7" s="5" t="s">
        <v>503</v>
      </c>
      <c r="C7" s="5" t="s">
        <v>510</v>
      </c>
      <c r="D7" s="5" t="s">
        <v>490</v>
      </c>
      <c r="E7" s="5" t="s">
        <v>506</v>
      </c>
      <c r="F7" s="5" t="s">
        <v>511</v>
      </c>
      <c r="G7" s="5" t="s">
        <v>512</v>
      </c>
    </row>
  </sheetData>
  <mergeCells count="1">
    <mergeCell ref="A1:G1"/>
  </mergeCells>
  <pageMargins left="0.75" right="0.75" top="1" bottom="1" header="0.5" footer="0.5"/>
  <pageSetup paperSize="9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Tổng quan</vt:lpstr>
      <vt:lpstr>Quy tắc &amp; KPI</vt:lpstr>
      <vt:lpstr>Test case</vt:lpstr>
      <vt:lpstr>Dữ liệu lỗi &amp; lớn</vt:lpstr>
      <vt:lpstr>Hiệu năng (trước-sau)</vt:lpstr>
      <vt:lpstr>Danh sách lỗi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PHAT</dc:creator>
  <cp:lastModifiedBy>PHAT</cp:lastModifiedBy>
  <dcterms:created xsi:type="dcterms:W3CDTF">2026-10-12T02:37:35Z</dcterms:created>
  <dcterms:modified xsi:type="dcterms:W3CDTF">2026-10-12T02:37:46Z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944CC8ECC1424DB2855E3B2A20F5459C_11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1</vt:i4>
  </property>
</Properties>
</file>